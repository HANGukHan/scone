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jsdl\.gemini\antigravity\scratch\"/>
    </mc:Choice>
  </mc:AlternateContent>
  <xr:revisionPtr revIDLastSave="0" documentId="13_ncr:1_{C1A0BE2D-F667-4E8C-BEF7-686CECE9E619}" xr6:coauthVersionLast="47" xr6:coauthVersionMax="47" xr10:uidLastSave="{00000000-0000-0000-0000-000000000000}"/>
  <bookViews>
    <workbookView xWindow="-120" yWindow="-120" windowWidth="29040" windowHeight="15720" xr2:uid="{84082009-A48B-494F-A16F-792F8AFF45AC}"/>
  </bookViews>
  <sheets>
    <sheet name="생산량표" sheetId="1" r:id="rId1"/>
    <sheet name="발송특이사항" sheetId="6" r:id="rId2"/>
    <sheet name="그릭요거트 " sheetId="12" r:id="rId3"/>
    <sheet name="YOF" sheetId="15" r:id="rId4"/>
  </sheets>
  <definedNames>
    <definedName name="_xlnm._FilterDatabase" localSheetId="3" hidden="1">YOF!$G$1:$G$145</definedName>
    <definedName name="_xlnm.Print_Area" localSheetId="1">발송특이사항!$A$1:$I$31</definedName>
    <definedName name="_xlnm.Print_Area" localSheetId="0">생산량표!$N$1:$AD$29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T7" i="1"/>
  <c r="U5" i="1"/>
  <c r="Q5" i="1" s="1"/>
  <c r="T12" i="1"/>
  <c r="V12" i="1" s="1"/>
  <c r="T14" i="1"/>
  <c r="V14" i="1" s="1"/>
  <c r="AI35" i="1"/>
  <c r="AI47" i="1"/>
  <c r="AI41" i="1" l="1"/>
  <c r="AI37" i="1"/>
  <c r="B30" i="6"/>
  <c r="B27" i="6" l="1"/>
  <c r="C27" i="6" s="1"/>
  <c r="B26" i="6"/>
  <c r="C26" i="6" s="1"/>
  <c r="B25" i="6"/>
  <c r="C25" i="6" s="1"/>
  <c r="B31" i="15" l="1"/>
  <c r="D32" i="15" s="1"/>
  <c r="B29" i="15"/>
  <c r="D29" i="15" s="1"/>
  <c r="B28" i="15"/>
  <c r="D28" i="15" s="1"/>
  <c r="B26" i="15"/>
  <c r="D26" i="15" s="1"/>
  <c r="B24" i="15"/>
  <c r="D25" i="15" s="1"/>
  <c r="B23" i="15"/>
  <c r="D23" i="15" s="1"/>
  <c r="B21" i="15"/>
  <c r="D22" i="15" s="1"/>
  <c r="B19" i="15"/>
  <c r="D20" i="15" s="1"/>
  <c r="B18" i="15"/>
  <c r="D18" i="15" s="1"/>
  <c r="B16" i="15"/>
  <c r="D16" i="15" s="1"/>
  <c r="B14" i="15"/>
  <c r="D14" i="15" s="1"/>
  <c r="B13" i="15"/>
  <c r="D13" i="15" s="1"/>
  <c r="B11" i="15"/>
  <c r="D11" i="15" s="1"/>
  <c r="B9" i="15"/>
  <c r="D10" i="15" s="1"/>
  <c r="B8" i="15"/>
  <c r="D8" i="15" s="1"/>
  <c r="B6" i="15"/>
  <c r="D7" i="15" s="1"/>
  <c r="B5" i="15"/>
  <c r="D5" i="15" s="1"/>
  <c r="B4" i="15"/>
  <c r="D4" i="15" s="1"/>
  <c r="B3" i="15"/>
  <c r="D3" i="15" s="1"/>
  <c r="B2" i="15"/>
  <c r="A4" i="1"/>
  <c r="A5" i="1"/>
  <c r="A6" i="1"/>
  <c r="A7" i="1"/>
  <c r="A8" i="1"/>
  <c r="A9" i="1"/>
  <c r="A10" i="1"/>
  <c r="A11" i="1"/>
  <c r="A12" i="1"/>
  <c r="A13" i="1"/>
  <c r="A14" i="1"/>
  <c r="A15" i="1"/>
  <c r="A16" i="1"/>
  <c r="D12" i="15" l="1"/>
  <c r="D19" i="15"/>
  <c r="B33" i="15"/>
  <c r="D27" i="15"/>
  <c r="D15" i="15"/>
  <c r="D30" i="15"/>
  <c r="D31" i="15"/>
  <c r="D9" i="15"/>
  <c r="D17" i="15"/>
  <c r="D24" i="15"/>
  <c r="D2" i="15"/>
  <c r="F18" i="6" s="1"/>
  <c r="D6" i="15"/>
  <c r="D21" i="15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F20" i="6" l="1"/>
  <c r="F19" i="6"/>
  <c r="D33" i="15"/>
  <c r="F21" i="6" l="1"/>
  <c r="A33" i="1"/>
  <c r="A49" i="1"/>
  <c r="A28" i="1"/>
  <c r="A34" i="1"/>
  <c r="A38" i="1"/>
  <c r="A45" i="1"/>
  <c r="A47" i="1"/>
  <c r="A51" i="1"/>
  <c r="A17" i="1"/>
  <c r="A18" i="1"/>
  <c r="A19" i="1"/>
  <c r="A20" i="1"/>
  <c r="A21" i="1"/>
  <c r="A22" i="1"/>
  <c r="A23" i="1"/>
  <c r="A24" i="1"/>
  <c r="A25" i="1"/>
  <c r="A26" i="1"/>
  <c r="A27" i="1"/>
  <c r="A29" i="1"/>
  <c r="A30" i="1"/>
  <c r="A31" i="1"/>
  <c r="A32" i="1"/>
  <c r="A35" i="1"/>
  <c r="A36" i="1"/>
  <c r="A37" i="1"/>
  <c r="A39" i="1"/>
  <c r="A40" i="1"/>
  <c r="A41" i="1"/>
  <c r="A42" i="1"/>
  <c r="A43" i="1"/>
  <c r="A44" i="1"/>
  <c r="A46" i="1"/>
  <c r="A48" i="1"/>
  <c r="A50" i="1"/>
  <c r="B24" i="6" l="1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B28" i="6" l="1"/>
  <c r="C18" i="6"/>
  <c r="C28" i="6" s="1"/>
  <c r="A54" i="1"/>
  <c r="A68" i="1"/>
  <c r="A52" i="1"/>
  <c r="A53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J57" i="1" l="1"/>
  <c r="J55" i="1"/>
  <c r="J58" i="1"/>
  <c r="J56" i="1"/>
  <c r="J54" i="1"/>
  <c r="J38" i="1"/>
  <c r="T29" i="1" s="1"/>
  <c r="J26" i="1"/>
  <c r="X14" i="1" s="1"/>
  <c r="Y14" i="1" s="1"/>
  <c r="J51" i="1"/>
  <c r="J52" i="1"/>
  <c r="R19" i="1" s="1"/>
  <c r="J53" i="1"/>
  <c r="X19" i="1" s="1"/>
  <c r="AA19" i="1" s="1"/>
  <c r="J41" i="1"/>
  <c r="X16" i="1" s="1"/>
  <c r="AA16" i="1" s="1"/>
  <c r="J48" i="1"/>
  <c r="J23" i="1"/>
  <c r="X22" i="1" s="1"/>
  <c r="AA22" i="1" s="1"/>
  <c r="J44" i="1"/>
  <c r="X9" i="1" s="1"/>
  <c r="AA9" i="1" s="1"/>
  <c r="J19" i="1"/>
  <c r="X18" i="1" s="1"/>
  <c r="AA18" i="1" s="1"/>
  <c r="J21" i="1"/>
  <c r="X17" i="1" s="1"/>
  <c r="AA17" i="1" s="1"/>
  <c r="J15" i="1"/>
  <c r="X8" i="1" s="1"/>
  <c r="AA8" i="1" s="1"/>
  <c r="J17" i="1"/>
  <c r="X13" i="1" s="1"/>
  <c r="AA13" i="1" s="1"/>
  <c r="J12" i="1"/>
  <c r="X15" i="1" s="1"/>
  <c r="AA15" i="1" s="1"/>
  <c r="J6" i="1"/>
  <c r="X6" i="1" s="1"/>
  <c r="AA6" i="1" s="1"/>
  <c r="J9" i="1"/>
  <c r="X7" i="1" s="1"/>
  <c r="AA7" i="1" s="1"/>
  <c r="J50" i="1"/>
  <c r="J49" i="1"/>
  <c r="J47" i="1"/>
  <c r="J46" i="1"/>
  <c r="R20" i="1" s="1"/>
  <c r="J45" i="1"/>
  <c r="J42" i="1"/>
  <c r="R9" i="1" s="1"/>
  <c r="J43" i="1"/>
  <c r="AC9" i="1" s="1"/>
  <c r="J40" i="1"/>
  <c r="AC16" i="1" s="1"/>
  <c r="AD16" i="1" s="1"/>
  <c r="J25" i="1"/>
  <c r="J39" i="1"/>
  <c r="J18" i="1"/>
  <c r="J34" i="1"/>
  <c r="V27" i="1" s="1"/>
  <c r="J35" i="1"/>
  <c r="Y27" i="1" s="1"/>
  <c r="J20" i="1"/>
  <c r="R17" i="1" s="1"/>
  <c r="J37" i="1"/>
  <c r="S29" i="1" s="1"/>
  <c r="J14" i="1"/>
  <c r="J5" i="1"/>
  <c r="J32" i="1"/>
  <c r="U27" i="1" s="1"/>
  <c r="J8" i="1"/>
  <c r="J11" i="1"/>
  <c r="AC15" i="1" s="1"/>
  <c r="J22" i="1"/>
  <c r="R22" i="1" s="1"/>
  <c r="J13" i="1"/>
  <c r="R8" i="1" s="1"/>
  <c r="J4" i="1"/>
  <c r="R6" i="1" s="1"/>
  <c r="J30" i="1"/>
  <c r="I20" i="6" s="1"/>
  <c r="J28" i="1"/>
  <c r="J29" i="1"/>
  <c r="I19" i="6" s="1"/>
  <c r="J31" i="1"/>
  <c r="I21" i="6" s="1"/>
  <c r="J27" i="1"/>
  <c r="J7" i="1"/>
  <c r="R7" i="1" s="1"/>
  <c r="J16" i="1"/>
  <c r="R13" i="1" s="1"/>
  <c r="J24" i="1"/>
  <c r="R5" i="1" s="1"/>
  <c r="J33" i="1"/>
  <c r="T27" i="1" s="1"/>
  <c r="J36" i="1"/>
  <c r="S27" i="1" s="1"/>
  <c r="J10" i="1"/>
  <c r="R15" i="1" s="1"/>
  <c r="T17" i="1" l="1"/>
  <c r="V17" i="1" s="1"/>
  <c r="T19" i="1"/>
  <c r="V19" i="1" s="1"/>
  <c r="T15" i="1"/>
  <c r="V15" i="1" s="1"/>
  <c r="T6" i="1"/>
  <c r="V6" i="1" s="1"/>
  <c r="T8" i="1"/>
  <c r="V8" i="1" s="1"/>
  <c r="T22" i="1"/>
  <c r="V22" i="1" s="1"/>
  <c r="T5" i="1"/>
  <c r="T9" i="1"/>
  <c r="V9" i="1" s="1"/>
  <c r="T13" i="1"/>
  <c r="V13" i="1" s="1"/>
  <c r="V7" i="1"/>
  <c r="U7" i="1" s="1"/>
  <c r="T20" i="1"/>
  <c r="V20" i="1" s="1"/>
  <c r="AC20" i="1"/>
  <c r="AD20" i="1" s="1"/>
  <c r="X20" i="1"/>
  <c r="AA20" i="1" s="1"/>
  <c r="Y20" i="1" s="1"/>
  <c r="R21" i="1"/>
  <c r="X21" i="1"/>
  <c r="AA21" i="1" s="1"/>
  <c r="Y21" i="1" s="1"/>
  <c r="Y19" i="1"/>
  <c r="R16" i="1"/>
  <c r="X12" i="1"/>
  <c r="R18" i="1"/>
  <c r="Y6" i="1"/>
  <c r="AC7" i="1"/>
  <c r="AD7" i="1" s="1"/>
  <c r="Y9" i="1"/>
  <c r="Y22" i="1"/>
  <c r="AC8" i="1"/>
  <c r="AC6" i="1"/>
  <c r="AD6" i="1" s="1"/>
  <c r="Y15" i="1"/>
  <c r="Y7" i="1"/>
  <c r="Y18" i="1"/>
  <c r="Y16" i="1"/>
  <c r="Q14" i="1"/>
  <c r="AG14" i="1" s="1"/>
  <c r="AA14" i="1"/>
  <c r="AD15" i="1"/>
  <c r="Y13" i="1"/>
  <c r="Y8" i="1"/>
  <c r="AD9" i="1"/>
  <c r="Y17" i="1"/>
  <c r="U29" i="1"/>
  <c r="Y29" i="1"/>
  <c r="V29" i="1"/>
  <c r="O29" i="1"/>
  <c r="I18" i="6"/>
  <c r="I22" i="6" s="1"/>
  <c r="T18" i="1" l="1"/>
  <c r="V18" i="1" s="1"/>
  <c r="T16" i="1"/>
  <c r="V16" i="1" s="1"/>
  <c r="T21" i="1"/>
  <c r="V21" i="1" s="1"/>
  <c r="W5" i="1"/>
  <c r="W13" i="1"/>
  <c r="U13" i="1"/>
  <c r="Q13" i="1" s="1"/>
  <c r="AG13" i="1" s="1"/>
  <c r="W15" i="1"/>
  <c r="U15" i="1"/>
  <c r="Q15" i="1" s="1"/>
  <c r="AG15" i="1" s="1"/>
  <c r="U6" i="1"/>
  <c r="Q6" i="1" s="1"/>
  <c r="W6" i="1"/>
  <c r="W9" i="1"/>
  <c r="U9" i="1"/>
  <c r="Q9" i="1" s="1"/>
  <c r="U22" i="1"/>
  <c r="Q22" i="1" s="1"/>
  <c r="W22" i="1"/>
  <c r="U8" i="1"/>
  <c r="Q8" i="1" s="1"/>
  <c r="AG8" i="1" s="1"/>
  <c r="W8" i="1"/>
  <c r="W7" i="1"/>
  <c r="Q7" i="1"/>
  <c r="AG7" i="1" s="1"/>
  <c r="U19" i="1"/>
  <c r="Q19" i="1" s="1"/>
  <c r="AG19" i="1" s="1"/>
  <c r="W19" i="1"/>
  <c r="U17" i="1"/>
  <c r="Q17" i="1" s="1"/>
  <c r="AG17" i="1" s="1"/>
  <c r="W17" i="1"/>
  <c r="W18" i="1"/>
  <c r="U20" i="1"/>
  <c r="Q20" i="1" s="1"/>
  <c r="W20" i="1"/>
  <c r="AA12" i="1"/>
  <c r="AB12" i="1" s="1"/>
  <c r="X24" i="1"/>
  <c r="AB14" i="1"/>
  <c r="AD8" i="1"/>
  <c r="AD24" i="1" s="1"/>
  <c r="AC24" i="1"/>
  <c r="AJ40" i="1"/>
  <c r="AJ35" i="1" l="1"/>
  <c r="AK35" i="1" s="1"/>
  <c r="AM35" i="1" s="1"/>
  <c r="U21" i="1"/>
  <c r="Q21" i="1" s="1"/>
  <c r="AG21" i="1" s="1"/>
  <c r="W21" i="1"/>
  <c r="U18" i="1"/>
  <c r="AJ44" i="1" s="1"/>
  <c r="AK44" i="1" s="1"/>
  <c r="AM44" i="1" s="1"/>
  <c r="Y12" i="1"/>
  <c r="Q12" i="1" s="1"/>
  <c r="AG12" i="1" s="1"/>
  <c r="AJ41" i="1"/>
  <c r="AJ43" i="1"/>
  <c r="AK43" i="1" s="1"/>
  <c r="AK40" i="1"/>
  <c r="AM40" i="1" s="1"/>
  <c r="AJ36" i="1"/>
  <c r="AK36" i="1" s="1"/>
  <c r="AJ37" i="1"/>
  <c r="AI36" i="1"/>
  <c r="AI40" i="1"/>
  <c r="AI43" i="1"/>
  <c r="AI44" i="1"/>
  <c r="AI34" i="1"/>
  <c r="AI42" i="1"/>
  <c r="AI45" i="1"/>
  <c r="AI33" i="1"/>
  <c r="AI46" i="1"/>
  <c r="AI48" i="1"/>
  <c r="AJ33" i="1"/>
  <c r="AK33" i="1" s="1"/>
  <c r="AM33" i="1" s="1"/>
  <c r="AG6" i="1"/>
  <c r="AG9" i="1"/>
  <c r="AG20" i="1"/>
  <c r="AJ34" i="1"/>
  <c r="AJ45" i="1"/>
  <c r="AJ46" i="1"/>
  <c r="AG22" i="1"/>
  <c r="Q18" i="1" l="1"/>
  <c r="AG18" i="1" s="1"/>
  <c r="AL44" i="1"/>
  <c r="AN44" i="1" s="1"/>
  <c r="Y24" i="1"/>
  <c r="AL35" i="1"/>
  <c r="AN35" i="1" s="1"/>
  <c r="AK41" i="1"/>
  <c r="AK37" i="1"/>
  <c r="AL40" i="1"/>
  <c r="AN40" i="1" s="1"/>
  <c r="AM36" i="1"/>
  <c r="AL36" i="1" s="1"/>
  <c r="AM43" i="1"/>
  <c r="AL43" i="1" s="1"/>
  <c r="AK34" i="1"/>
  <c r="AK46" i="1"/>
  <c r="AK45" i="1"/>
  <c r="AM45" i="1" s="1"/>
  <c r="AG5" i="1"/>
  <c r="AL33" i="1"/>
  <c r="AN33" i="1" s="1"/>
  <c r="AM41" i="1" l="1"/>
  <c r="AL41" i="1" s="1"/>
  <c r="AN36" i="1"/>
  <c r="AN43" i="1"/>
  <c r="AM37" i="1"/>
  <c r="AL37" i="1" s="1"/>
  <c r="AM34" i="1"/>
  <c r="AL45" i="1"/>
  <c r="AN45" i="1" s="1"/>
  <c r="AM46" i="1"/>
  <c r="AL46" i="1" s="1"/>
  <c r="AN41" i="1" l="1"/>
  <c r="AN37" i="1"/>
  <c r="AL34" i="1"/>
  <c r="AN34" i="1" s="1"/>
  <c r="AN46" i="1"/>
  <c r="F4" i="6" l="1"/>
  <c r="U16" i="1" l="1"/>
  <c r="AJ42" i="1" s="1"/>
  <c r="AK42" i="1" s="1"/>
  <c r="T24" i="1"/>
  <c r="AM42" i="1" l="1"/>
  <c r="AL42" i="1" s="1"/>
  <c r="AJ48" i="1"/>
  <c r="AK48" i="1" s="1"/>
  <c r="AM48" i="1" s="1"/>
  <c r="AL48" i="1" s="1"/>
  <c r="AJ47" i="1"/>
  <c r="W16" i="1"/>
  <c r="AN42" i="1" l="1"/>
  <c r="AK47" i="1"/>
  <c r="AM47" i="1" s="1"/>
  <c r="AN48" i="1"/>
  <c r="W24" i="1"/>
  <c r="P29" i="1" s="1"/>
  <c r="Q16" i="1"/>
  <c r="U24" i="1"/>
  <c r="AL47" i="1" l="1"/>
  <c r="AN47" i="1" s="1"/>
  <c r="Q24" i="1"/>
  <c r="AG16" i="1"/>
  <c r="O27" i="1" s="1"/>
  <c r="R29" i="1"/>
  <c r="Q29" i="1"/>
</calcChain>
</file>

<file path=xl/sharedStrings.xml><?xml version="1.0" encoding="utf-8"?>
<sst xmlns="http://schemas.openxmlformats.org/spreadsheetml/2006/main" count="310" uniqueCount="253">
  <si>
    <t>말차초코칩스콘</t>
  </si>
  <si>
    <t>주문수량</t>
    <phoneticPr fontId="1" type="noConversion"/>
  </si>
  <si>
    <t>데이츠치아씨드스콘</t>
  </si>
  <si>
    <t>옵션</t>
    <phoneticPr fontId="1" type="noConversion"/>
  </si>
  <si>
    <t>데이츠</t>
    <phoneticPr fontId="1" type="noConversion"/>
  </si>
  <si>
    <t>츄러스콘</t>
    <phoneticPr fontId="1" type="noConversion"/>
  </si>
  <si>
    <t>카카오</t>
    <phoneticPr fontId="1" type="noConversion"/>
  </si>
  <si>
    <t>데솔오바</t>
    <phoneticPr fontId="1" type="noConversion"/>
  </si>
  <si>
    <t>관리명</t>
    <phoneticPr fontId="1" type="noConversion"/>
  </si>
  <si>
    <t>구분</t>
    <phoneticPr fontId="1" type="noConversion"/>
  </si>
  <si>
    <t>수량</t>
    <phoneticPr fontId="2" type="noConversion"/>
  </si>
  <si>
    <t>생산량표</t>
    <phoneticPr fontId="1" type="noConversion"/>
  </si>
  <si>
    <t>삼각스콘</t>
    <phoneticPr fontId="1" type="noConversion"/>
  </si>
  <si>
    <t>판수</t>
    <phoneticPr fontId="1" type="noConversion"/>
  </si>
  <si>
    <t>품명</t>
    <phoneticPr fontId="1" type="noConversion"/>
  </si>
  <si>
    <t>츄러스콘</t>
    <phoneticPr fontId="2" type="noConversion"/>
  </si>
  <si>
    <t>데솔오트밀바</t>
    <phoneticPr fontId="2" type="noConversion"/>
  </si>
  <si>
    <t>주문수량 정리</t>
    <phoneticPr fontId="1" type="noConversion"/>
  </si>
  <si>
    <t>관리명+옵션명</t>
    <phoneticPr fontId="1" type="noConversion"/>
  </si>
  <si>
    <t>총 판수</t>
    <phoneticPr fontId="1" type="noConversion"/>
  </si>
  <si>
    <t>휩드생크림</t>
    <phoneticPr fontId="1" type="noConversion"/>
  </si>
  <si>
    <t>생크림/판</t>
    <phoneticPr fontId="1" type="noConversion"/>
  </si>
  <si>
    <t>생크림(총량)</t>
    <phoneticPr fontId="1" type="noConversion"/>
  </si>
  <si>
    <t>OPP(식사)</t>
    <phoneticPr fontId="1" type="noConversion"/>
  </si>
  <si>
    <t>주문량</t>
    <phoneticPr fontId="1" type="noConversion"/>
  </si>
  <si>
    <t>남는량(팩)</t>
    <phoneticPr fontId="1" type="noConversion"/>
  </si>
  <si>
    <t>남는량(봉)</t>
    <phoneticPr fontId="1" type="noConversion"/>
  </si>
  <si>
    <t>스콘 합계</t>
    <phoneticPr fontId="1" type="noConversion"/>
  </si>
  <si>
    <t>남는량</t>
    <phoneticPr fontId="1" type="noConversion"/>
  </si>
  <si>
    <t>이월재고</t>
    <phoneticPr fontId="1" type="noConversion"/>
  </si>
  <si>
    <t>[특이사항]</t>
    <phoneticPr fontId="2" type="noConversion"/>
  </si>
  <si>
    <t>[그릭요거트]</t>
    <phoneticPr fontId="2" type="noConversion"/>
  </si>
  <si>
    <t>주문건수</t>
    <phoneticPr fontId="2" type="noConversion"/>
  </si>
  <si>
    <t>주문수량</t>
    <phoneticPr fontId="2" type="noConversion"/>
  </si>
  <si>
    <t>합계</t>
    <phoneticPr fontId="2" type="noConversion"/>
  </si>
  <si>
    <t>&lt;발송대기 데이터&gt;</t>
    <phoneticPr fontId="1" type="noConversion"/>
  </si>
  <si>
    <t>요거트갯수</t>
    <phoneticPr fontId="1" type="noConversion"/>
  </si>
  <si>
    <t xml:space="preserve">종이가방 </t>
    <phoneticPr fontId="1" type="noConversion"/>
  </si>
  <si>
    <t>수량</t>
    <phoneticPr fontId="1" type="noConversion"/>
  </si>
  <si>
    <t>주문건</t>
    <phoneticPr fontId="1" type="noConversion"/>
  </si>
  <si>
    <t>1개</t>
    <phoneticPr fontId="1" type="noConversion"/>
  </si>
  <si>
    <t>주문건수</t>
  </si>
  <si>
    <t>봉투내 수량</t>
    <phoneticPr fontId="1" type="noConversion"/>
  </si>
  <si>
    <t>봉투수량(유통기한 스티커 수)</t>
    <phoneticPr fontId="1" type="noConversion"/>
  </si>
  <si>
    <t>유통기한</t>
    <phoneticPr fontId="1" type="noConversion"/>
  </si>
  <si>
    <t>1개*1봉</t>
    <phoneticPr fontId="1" type="noConversion"/>
  </si>
  <si>
    <t>2개</t>
    <phoneticPr fontId="1" type="noConversion"/>
  </si>
  <si>
    <t>2개*1봉</t>
    <phoneticPr fontId="1" type="noConversion"/>
  </si>
  <si>
    <t>11개</t>
    <phoneticPr fontId="1" type="noConversion"/>
  </si>
  <si>
    <t>3개*3봉</t>
    <phoneticPr fontId="1" type="noConversion"/>
  </si>
  <si>
    <t>합계</t>
    <phoneticPr fontId="1" type="noConversion"/>
  </si>
  <si>
    <t xml:space="preserve">요프 수량 </t>
    <phoneticPr fontId="1" type="noConversion"/>
  </si>
  <si>
    <t>3개</t>
    <phoneticPr fontId="1" type="noConversion"/>
  </si>
  <si>
    <t>4개</t>
    <phoneticPr fontId="1" type="noConversion"/>
  </si>
  <si>
    <t>5개</t>
    <phoneticPr fontId="1" type="noConversion"/>
  </si>
  <si>
    <t>6개</t>
    <phoneticPr fontId="1" type="noConversion"/>
  </si>
  <si>
    <t>7개</t>
    <phoneticPr fontId="1" type="noConversion"/>
  </si>
  <si>
    <t>8개</t>
    <phoneticPr fontId="1" type="noConversion"/>
  </si>
  <si>
    <t>9개</t>
    <phoneticPr fontId="1" type="noConversion"/>
  </si>
  <si>
    <t>10개</t>
    <phoneticPr fontId="1" type="noConversion"/>
  </si>
  <si>
    <t>12개</t>
    <phoneticPr fontId="1" type="noConversion"/>
  </si>
  <si>
    <t>13개</t>
    <phoneticPr fontId="1" type="noConversion"/>
  </si>
  <si>
    <t>14개</t>
    <phoneticPr fontId="1" type="noConversion"/>
  </si>
  <si>
    <t>15개</t>
    <phoneticPr fontId="1" type="noConversion"/>
  </si>
  <si>
    <t>16개</t>
    <phoneticPr fontId="1" type="noConversion"/>
  </si>
  <si>
    <t>17개</t>
    <phoneticPr fontId="1" type="noConversion"/>
  </si>
  <si>
    <t>18개</t>
    <phoneticPr fontId="1" type="noConversion"/>
  </si>
  <si>
    <t>19개</t>
    <phoneticPr fontId="1" type="noConversion"/>
  </si>
  <si>
    <t>20개</t>
    <phoneticPr fontId="1" type="noConversion"/>
  </si>
  <si>
    <t>3개*1봉</t>
    <phoneticPr fontId="1" type="noConversion"/>
  </si>
  <si>
    <t>3개*2봉</t>
    <phoneticPr fontId="1" type="noConversion"/>
  </si>
  <si>
    <t>2개*2봉</t>
    <phoneticPr fontId="1" type="noConversion"/>
  </si>
  <si>
    <t>3개*4봉</t>
    <phoneticPr fontId="1" type="noConversion"/>
  </si>
  <si>
    <t>3개*5봉</t>
    <phoneticPr fontId="1" type="noConversion"/>
  </si>
  <si>
    <t>3개*6봉</t>
    <phoneticPr fontId="1" type="noConversion"/>
  </si>
  <si>
    <t>스틱스콘</t>
    <phoneticPr fontId="1" type="noConversion"/>
  </si>
  <si>
    <t>단호박</t>
  </si>
  <si>
    <t>말차</t>
  </si>
  <si>
    <t>콩가루</t>
  </si>
  <si>
    <t>흑임자</t>
  </si>
  <si>
    <t>[YoF-6]</t>
    <phoneticPr fontId="1" type="noConversion"/>
  </si>
  <si>
    <t>[YoF-1]</t>
    <phoneticPr fontId="1" type="noConversion"/>
  </si>
  <si>
    <t>종류</t>
    <phoneticPr fontId="1" type="noConversion"/>
  </si>
  <si>
    <t xml:space="preserve">수량 </t>
    <phoneticPr fontId="1" type="noConversion"/>
  </si>
  <si>
    <t xml:space="preserve">합계 </t>
    <phoneticPr fontId="1" type="noConversion"/>
  </si>
  <si>
    <t>카카오스콘</t>
    <phoneticPr fontId="1" type="noConversion"/>
  </si>
  <si>
    <t>귀리초코칩스콘</t>
    <phoneticPr fontId="1" type="noConversion"/>
  </si>
  <si>
    <t>바닐라피칸스콘</t>
    <phoneticPr fontId="1" type="noConversion"/>
  </si>
  <si>
    <t>미니큐브</t>
    <phoneticPr fontId="1" type="noConversion"/>
  </si>
  <si>
    <t>VIP</t>
    <phoneticPr fontId="1" type="noConversion"/>
  </si>
  <si>
    <t>부족 서비스</t>
    <phoneticPr fontId="1" type="noConversion"/>
  </si>
  <si>
    <t>남는 서비스</t>
    <phoneticPr fontId="1" type="noConversion"/>
  </si>
  <si>
    <t>스/큐</t>
    <phoneticPr fontId="1" type="noConversion"/>
  </si>
  <si>
    <t>오븐번호</t>
    <phoneticPr fontId="1" type="noConversion"/>
  </si>
  <si>
    <t>상품명</t>
    <phoneticPr fontId="1" type="noConversion"/>
  </si>
  <si>
    <t>풀팬</t>
    <phoneticPr fontId="1" type="noConversion"/>
  </si>
  <si>
    <t>남는 반죽 판수</t>
    <phoneticPr fontId="1" type="noConversion"/>
  </si>
  <si>
    <t>삼각(바)판수</t>
    <phoneticPr fontId="1" type="noConversion"/>
  </si>
  <si>
    <t>데이츠치아씨드스콘</t>
    <phoneticPr fontId="1" type="noConversion"/>
  </si>
  <si>
    <t>데솔오트밀바</t>
    <phoneticPr fontId="1" type="noConversion"/>
  </si>
  <si>
    <t>말차초코칩스콘</t>
    <phoneticPr fontId="1" type="noConversion"/>
  </si>
  <si>
    <t>이매진</t>
    <phoneticPr fontId="1" type="noConversion"/>
  </si>
  <si>
    <t>이월재고(봉)</t>
    <phoneticPr fontId="1" type="noConversion"/>
  </si>
  <si>
    <t>사고건</t>
    <phoneticPr fontId="1" type="noConversion"/>
  </si>
  <si>
    <t>직원</t>
    <phoneticPr fontId="1" type="noConversion"/>
  </si>
  <si>
    <t>합=&gt;</t>
    <phoneticPr fontId="1" type="noConversion"/>
  </si>
  <si>
    <t>순수오트스콘</t>
    <phoneticPr fontId="1" type="noConversion"/>
  </si>
  <si>
    <t>[픽업]</t>
    <phoneticPr fontId="1" type="noConversion"/>
  </si>
  <si>
    <t>베리초코칩스콘</t>
    <phoneticPr fontId="1" type="noConversion"/>
  </si>
  <si>
    <t>무배</t>
    <phoneticPr fontId="1" type="noConversion"/>
  </si>
  <si>
    <t>서비스수량</t>
    <phoneticPr fontId="1" type="noConversion"/>
  </si>
  <si>
    <t>바피</t>
    <phoneticPr fontId="1" type="noConversion"/>
  </si>
  <si>
    <t>말초</t>
    <phoneticPr fontId="1" type="noConversion"/>
  </si>
  <si>
    <t>귀초칩</t>
    <phoneticPr fontId="1" type="noConversion"/>
  </si>
  <si>
    <t>순수오트</t>
    <phoneticPr fontId="1" type="noConversion"/>
  </si>
  <si>
    <t>베리초코</t>
    <phoneticPr fontId="1" type="noConversion"/>
  </si>
  <si>
    <t>OXO스콘</t>
    <phoneticPr fontId="1" type="noConversion"/>
  </si>
  <si>
    <t>오븐</t>
    <phoneticPr fontId="1" type="noConversion"/>
  </si>
  <si>
    <t>버터밀크비스킷스콘</t>
    <phoneticPr fontId="1" type="noConversion"/>
  </si>
  <si>
    <t>-통밀츄러스콘</t>
    <phoneticPr fontId="1" type="noConversion"/>
  </si>
  <si>
    <t>----[세트]통밀츄러스틱 3팩</t>
    <phoneticPr fontId="1" type="noConversion"/>
  </si>
  <si>
    <t>-----[하프팩]통밀츄러미니큐브</t>
    <phoneticPr fontId="1" type="noConversion"/>
  </si>
  <si>
    <t>-데이츠치아씨드스콘</t>
    <phoneticPr fontId="1" type="noConversion"/>
  </si>
  <si>
    <t>----[세트]데치스틱 3팩</t>
    <phoneticPr fontId="1" type="noConversion"/>
  </si>
  <si>
    <t>-----[하프팩]데치미니큐브</t>
    <phoneticPr fontId="1" type="noConversion"/>
  </si>
  <si>
    <t>-카카오스콘</t>
    <phoneticPr fontId="1" type="noConversion"/>
  </si>
  <si>
    <t>----[세트]카카오스틱 3팩</t>
    <phoneticPr fontId="1" type="noConversion"/>
  </si>
  <si>
    <t>-----[하프팩]카카오미니큐브</t>
    <phoneticPr fontId="1" type="noConversion"/>
  </si>
  <si>
    <t>-바닐라피칸스콘</t>
    <phoneticPr fontId="1" type="noConversion"/>
  </si>
  <si>
    <t>----[세트]바닐라피칸스틱 3팩</t>
    <phoneticPr fontId="1" type="noConversion"/>
  </si>
  <si>
    <t>-----[하프팩]바닐라피칸미니큐브</t>
    <phoneticPr fontId="1" type="noConversion"/>
  </si>
  <si>
    <t>-데솔오트밀바</t>
    <phoneticPr fontId="1" type="noConversion"/>
  </si>
  <si>
    <t>-----[하프팩]데솔오바미니큐브</t>
    <phoneticPr fontId="1" type="noConversion"/>
  </si>
  <si>
    <t>-귀리초코칩스콘</t>
    <phoneticPr fontId="1" type="noConversion"/>
  </si>
  <si>
    <t>-----[하프팩]귀초칩미니큐브</t>
    <phoneticPr fontId="1" type="noConversion"/>
  </si>
  <si>
    <t>-순수오트스콘</t>
    <phoneticPr fontId="1" type="noConversion"/>
  </si>
  <si>
    <t>-----[하프팩]순수오트미니큐브</t>
    <phoneticPr fontId="1" type="noConversion"/>
  </si>
  <si>
    <t>-베리초코칩스콘</t>
    <phoneticPr fontId="1" type="noConversion"/>
  </si>
  <si>
    <t>-----[하프팩]베리초코칩미니큐브</t>
    <phoneticPr fontId="1" type="noConversion"/>
  </si>
  <si>
    <t>-말차초코칩스콘</t>
    <phoneticPr fontId="1" type="noConversion"/>
  </si>
  <si>
    <t>-----[미니쉐이크]쑥인절미</t>
    <phoneticPr fontId="1" type="noConversion"/>
  </si>
  <si>
    <t>------YOF6팩</t>
    <phoneticPr fontId="1" type="noConversion"/>
  </si>
  <si>
    <r>
      <t>------</t>
    </r>
    <r>
      <rPr>
        <sz val="10"/>
        <rFont val="돋움"/>
        <family val="3"/>
        <charset val="129"/>
      </rPr>
      <t>요프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맛</t>
    </r>
  </si>
  <si>
    <r>
      <t>------</t>
    </r>
    <r>
      <rPr>
        <sz val="10"/>
        <rFont val="돋움"/>
        <family val="3"/>
        <charset val="129"/>
      </rPr>
      <t>요프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맛</t>
    </r>
    <phoneticPr fontId="1" type="noConversion"/>
  </si>
  <si>
    <t>------대파분태</t>
    <phoneticPr fontId="1" type="noConversion"/>
  </si>
  <si>
    <t>-----GREEK YOGURT</t>
    <phoneticPr fontId="1" type="noConversion"/>
  </si>
  <si>
    <t>-OXO스콘</t>
    <phoneticPr fontId="1" type="noConversion"/>
  </si>
  <si>
    <t>-----[하프팩]OXO미니큐브</t>
    <phoneticPr fontId="1" type="noConversion"/>
  </si>
  <si>
    <t>----[세트]OXO스틱 3팩</t>
    <phoneticPr fontId="1" type="noConversion"/>
  </si>
  <si>
    <t>-버터밀크비스킷스콘</t>
    <phoneticPr fontId="1" type="noConversion"/>
  </si>
  <si>
    <t>----[세트]버터밀크비스킷스틱 3팩</t>
    <phoneticPr fontId="1" type="noConversion"/>
  </si>
  <si>
    <t>-----[하프팩]버터밀크비스킷미니큐브</t>
    <phoneticPr fontId="1" type="noConversion"/>
  </si>
  <si>
    <t>[스무스]</t>
  </si>
  <si>
    <t>[크런치]</t>
  </si>
  <si>
    <t>[ 콩가루]</t>
  </si>
  <si>
    <t>[식사용]</t>
    <phoneticPr fontId="1" type="noConversion"/>
  </si>
  <si>
    <t>[단호박]</t>
    <phoneticPr fontId="1" type="noConversion"/>
  </si>
  <si>
    <t>[ 말차]</t>
    <phoneticPr fontId="1" type="noConversion"/>
  </si>
  <si>
    <t>[ 흑임자]</t>
    <phoneticPr fontId="1" type="noConversion"/>
  </si>
  <si>
    <t>-----[미니쉐이크]카카오파베</t>
    <phoneticPr fontId="1" type="noConversion"/>
  </si>
  <si>
    <t>-------[Gourmet M]피넛머드</t>
    <phoneticPr fontId="1" type="noConversion"/>
  </si>
  <si>
    <t>-------선물용 종이가방</t>
    <phoneticPr fontId="1" type="noConversion"/>
  </si>
  <si>
    <t>서비스스콘</t>
    <phoneticPr fontId="1" type="noConversion"/>
  </si>
  <si>
    <t>이매진 머드</t>
    <phoneticPr fontId="1" type="noConversion"/>
  </si>
  <si>
    <t>-더티너티밤스콘</t>
    <phoneticPr fontId="1" type="noConversion"/>
  </si>
  <si>
    <t>----[세트]더티너티밤스틱 3팩</t>
    <phoneticPr fontId="1" type="noConversion"/>
  </si>
  <si>
    <t>-----[하프팩]더티너티밤미니큐브</t>
    <phoneticPr fontId="1" type="noConversion"/>
  </si>
  <si>
    <t>더티너티밤스콘</t>
    <phoneticPr fontId="1" type="noConversion"/>
  </si>
  <si>
    <t>삼각 / 바</t>
    <phoneticPr fontId="1" type="noConversion"/>
  </si>
  <si>
    <t>[서비스스콘]</t>
    <phoneticPr fontId="1" type="noConversion"/>
  </si>
  <si>
    <t>스타터팩</t>
    <phoneticPr fontId="1" type="noConversion"/>
  </si>
  <si>
    <t>풀팬(3판)</t>
    <phoneticPr fontId="1" type="noConversion"/>
  </si>
  <si>
    <t>-말차오트초코칩스콘</t>
    <phoneticPr fontId="1" type="noConversion"/>
  </si>
  <si>
    <t>-----[하프팩]말차오트초코칩미니큐브</t>
    <phoneticPr fontId="1" type="noConversion"/>
  </si>
  <si>
    <t>말차오트초코칩스콘</t>
    <phoneticPr fontId="1" type="noConversion"/>
  </si>
  <si>
    <t>* 서비스스콘은 모두 선반영 완료</t>
    <phoneticPr fontId="1" type="noConversion"/>
  </si>
  <si>
    <t>대파분태</t>
  </si>
  <si>
    <t>스무스</t>
  </si>
  <si>
    <t>그릭요거트</t>
    <phoneticPr fontId="1" type="noConversion"/>
  </si>
  <si>
    <t>발송 특이사항 0000()</t>
    <phoneticPr fontId="2" type="noConversion"/>
  </si>
  <si>
    <t>파베(봉)</t>
    <phoneticPr fontId="1" type="noConversion"/>
  </si>
  <si>
    <t>인절미(봉)</t>
    <phoneticPr fontId="1" type="noConversion"/>
  </si>
  <si>
    <t>크런치</t>
    <phoneticPr fontId="1" type="noConversion"/>
  </si>
  <si>
    <t>딥카카오트스콘</t>
    <phoneticPr fontId="1" type="noConversion"/>
  </si>
  <si>
    <t>-딥카카오트스콘</t>
    <phoneticPr fontId="1" type="noConversion"/>
  </si>
  <si>
    <t>-----[하프팩]딥카카오트미니큐브</t>
    <phoneticPr fontId="1" type="noConversion"/>
  </si>
  <si>
    <t>발송건수</t>
    <phoneticPr fontId="1" type="noConversion"/>
  </si>
  <si>
    <t xml:space="preserve">발송건수 : </t>
    <phoneticPr fontId="1" type="noConversion"/>
  </si>
  <si>
    <t>OXO</t>
    <phoneticPr fontId="1" type="noConversion"/>
  </si>
  <si>
    <t>버터밀크</t>
    <phoneticPr fontId="1" type="noConversion"/>
  </si>
  <si>
    <t>더티너티</t>
    <phoneticPr fontId="1" type="noConversion"/>
  </si>
  <si>
    <t>말차오트</t>
    <phoneticPr fontId="1" type="noConversion"/>
  </si>
  <si>
    <t>딥카오트</t>
    <phoneticPr fontId="1" type="noConversion"/>
  </si>
  <si>
    <t>추가량 + 남는량</t>
    <phoneticPr fontId="1" type="noConversion"/>
  </si>
  <si>
    <t>[미니쉐이크]쑥인절미</t>
    <phoneticPr fontId="1" type="noConversion"/>
  </si>
  <si>
    <t>[미니쉐이크]카카오파베</t>
    <phoneticPr fontId="1" type="noConversion"/>
  </si>
  <si>
    <t>건</t>
    <phoneticPr fontId="1" type="noConversion"/>
  </si>
  <si>
    <t>[제주도 &gt;&gt; 로젠택배]</t>
    <phoneticPr fontId="1" type="noConversion"/>
  </si>
  <si>
    <t>---단호밤너티밤스콘</t>
    <phoneticPr fontId="1" type="noConversion"/>
  </si>
  <si>
    <t>---쑥인절미꿀호떡스콘</t>
    <phoneticPr fontId="1" type="noConversion"/>
  </si>
  <si>
    <t>---베리코코미니쉐이크</t>
    <phoneticPr fontId="1" type="noConversion"/>
  </si>
  <si>
    <t>---스윗밀크티너티밤스콘</t>
    <phoneticPr fontId="1" type="noConversion"/>
  </si>
  <si>
    <t>---오렌지블라썸스틱</t>
    <phoneticPr fontId="1" type="noConversion"/>
  </si>
  <si>
    <t xml:space="preserve"> -------소분용 OPP 봉투 20매</t>
    <phoneticPr fontId="1" type="noConversion"/>
  </si>
  <si>
    <t>-------[Gourmet M]피넛머드</t>
  </si>
  <si>
    <t>-------소분용 OPP 봉투 20매</t>
  </si>
  <si>
    <t>[간식용]</t>
  </si>
  <si>
    <t>[식사용]</t>
  </si>
  <si>
    <t>------YOF6팩</t>
  </si>
  <si>
    <t>------요프 한 가지 맛</t>
  </si>
  <si>
    <t>[ 말차]</t>
  </si>
  <si>
    <t>[ 쑥]</t>
  </si>
  <si>
    <t>-----[미니쉐이크]쑥인절미</t>
  </si>
  <si>
    <t>-----[미니쉐이크]카카오파베</t>
  </si>
  <si>
    <t>-----[하프팩]OXO미니큐브</t>
  </si>
  <si>
    <t>-----[하프팩]귀초칩미니큐브</t>
  </si>
  <si>
    <t>-----[하프팩]더티너티밤미니큐브</t>
  </si>
  <si>
    <t>-----[하프팩]데솔오바미니큐브</t>
  </si>
  <si>
    <t>-----[하프팩]데치미니큐브</t>
  </si>
  <si>
    <t>-----[하프팩]말차오트초코칩미니큐브</t>
  </si>
  <si>
    <t>-----[하프팩]바닐라피칸미니큐브</t>
  </si>
  <si>
    <t>-----[하프팩]버터밀크비스킷미니큐브</t>
  </si>
  <si>
    <t>-----[하프팩]베리초코칩미니큐브</t>
  </si>
  <si>
    <t>-----[하프팩]순수오트미니큐브</t>
  </si>
  <si>
    <t>-----[하프팩]카카오미니큐브</t>
  </si>
  <si>
    <t>-----[하프팩]통밀츄러미니큐브</t>
  </si>
  <si>
    <t>----[세트]OXO스틱 3팩</t>
  </si>
  <si>
    <t>----[세트]더티너티밤스틱 3팩</t>
  </si>
  <si>
    <t>----[세트]데치스틱 3팩</t>
  </si>
  <si>
    <t>----[세트]바닐라피칸스틱 3팩</t>
  </si>
  <si>
    <t>----[세트]버터밀크비스킷스틱 3팩</t>
  </si>
  <si>
    <t>----[세트]카카오스틱 3팩</t>
  </si>
  <si>
    <t>----[세트]통밀츄러스틱 3팩</t>
  </si>
  <si>
    <t>---단호박스콘</t>
  </si>
  <si>
    <t>---쑥스콘</t>
  </si>
  <si>
    <t>---쑥인절미꿀호떡스콘</t>
  </si>
  <si>
    <t>---흑미밤설기바스콘</t>
  </si>
  <si>
    <t>---흑임자라떼스콘</t>
  </si>
  <si>
    <t>-OXO스콘</t>
  </si>
  <si>
    <t>-귀리초코칩스콘</t>
  </si>
  <si>
    <t>-더티너티밤스콘</t>
  </si>
  <si>
    <t>-데솔오트밀바</t>
  </si>
  <si>
    <t>-데이츠치아씨드스콘</t>
  </si>
  <si>
    <t>-말차오트초코칩스콘</t>
  </si>
  <si>
    <t>-말차초코칩스콘</t>
  </si>
  <si>
    <t>-바닐라피칸스콘</t>
  </si>
  <si>
    <t>-버터밀크비스킷스콘</t>
  </si>
  <si>
    <t>-베리초코칩스콘</t>
  </si>
  <si>
    <t>-순수오트스콘</t>
  </si>
  <si>
    <t>-카카오스콘</t>
  </si>
  <si>
    <t>-통밀츄러스콘</t>
  </si>
  <si>
    <t>서비스스콘</t>
  </si>
  <si>
    <t>스타터팩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</si>
</sst>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0"/>
      <name val="HY헤드라인M"/>
      <family val="1"/>
      <charset val="129"/>
    </font>
    <font>
      <sz val="20"/>
      <name val="HY헤드라인M"/>
      <family val="1"/>
      <charset val="129"/>
    </font>
    <font>
      <sz val="11"/>
      <color rgb="FFFFFF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헤드라인M"/>
      <family val="1"/>
      <charset val="129"/>
    </font>
    <font>
      <b/>
      <sz val="14"/>
      <color theme="1"/>
      <name val="HY헤드라인M"/>
      <family val="1"/>
      <charset val="129"/>
    </font>
    <font>
      <sz val="18"/>
      <color theme="1"/>
      <name val="나눔스퀘어"/>
      <family val="3"/>
      <charset val="129"/>
    </font>
    <font>
      <b/>
      <sz val="18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  <font>
      <sz val="17"/>
      <color theme="1"/>
      <name val="나눔스퀘어"/>
      <family val="3"/>
      <charset val="129"/>
    </font>
    <font>
      <b/>
      <sz val="17"/>
      <color theme="1"/>
      <name val="HY헤드라인M"/>
      <family val="1"/>
      <charset val="129"/>
    </font>
    <font>
      <sz val="10"/>
      <name val="돋움"/>
      <family val="3"/>
      <charset val="129"/>
    </font>
    <font>
      <b/>
      <sz val="10"/>
      <color theme="1"/>
      <name val="HY헤드라인M"/>
      <family val="1"/>
      <charset val="129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0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/>
    <xf numFmtId="0" fontId="0" fillId="0" borderId="0" xfId="0" applyAlignment="1"/>
    <xf numFmtId="0" fontId="10" fillId="0" borderId="1" xfId="0" applyFont="1" applyBorder="1">
      <alignment vertical="center"/>
    </xf>
    <xf numFmtId="0" fontId="12" fillId="0" borderId="0" xfId="0" applyFont="1">
      <alignment vertical="center"/>
    </xf>
    <xf numFmtId="0" fontId="3" fillId="0" borderId="0" xfId="1"/>
    <xf numFmtId="0" fontId="4" fillId="0" borderId="13" xfId="0" applyFont="1" applyBorder="1">
      <alignment vertical="center"/>
    </xf>
    <xf numFmtId="0" fontId="13" fillId="0" borderId="0" xfId="1" applyFont="1"/>
    <xf numFmtId="0" fontId="13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13" fillId="0" borderId="6" xfId="1" applyFont="1" applyBorder="1" applyAlignment="1">
      <alignment horizontal="center"/>
    </xf>
    <xf numFmtId="0" fontId="13" fillId="0" borderId="8" xfId="1" applyFont="1" applyBorder="1" applyAlignment="1">
      <alignment horizontal="center"/>
    </xf>
    <xf numFmtId="0" fontId="13" fillId="0" borderId="12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0" fontId="13" fillId="0" borderId="11" xfId="1" applyFont="1" applyBorder="1" applyAlignment="1">
      <alignment horizontal="right"/>
    </xf>
    <xf numFmtId="0" fontId="13" fillId="0" borderId="12" xfId="1" applyFont="1" applyBorder="1"/>
    <xf numFmtId="0" fontId="13" fillId="0" borderId="13" xfId="1" applyFont="1" applyBorder="1"/>
    <xf numFmtId="0" fontId="13" fillId="0" borderId="11" xfId="1" applyFont="1" applyBorder="1"/>
    <xf numFmtId="0" fontId="0" fillId="2" borderId="1" xfId="0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7" fillId="0" borderId="0" xfId="0" applyFont="1" applyAlignment="1"/>
    <xf numFmtId="0" fontId="13" fillId="0" borderId="17" xfId="1" applyFont="1" applyBorder="1"/>
    <xf numFmtId="0" fontId="13" fillId="0" borderId="15" xfId="1" applyFont="1" applyBorder="1" applyAlignment="1">
      <alignment horizontal="center"/>
    </xf>
    <xf numFmtId="0" fontId="13" fillId="0" borderId="28" xfId="1" applyFont="1" applyBorder="1"/>
    <xf numFmtId="0" fontId="13" fillId="0" borderId="0" xfId="1" applyFont="1" applyAlignment="1">
      <alignment horizontal="left"/>
    </xf>
    <xf numFmtId="0" fontId="13" fillId="0" borderId="9" xfId="1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3" fillId="0" borderId="13" xfId="1" applyFont="1" applyBorder="1" applyAlignment="1">
      <alignment horizontal="center"/>
    </xf>
    <xf numFmtId="0" fontId="13" fillId="0" borderId="11" xfId="1" applyFont="1" applyBorder="1" applyAlignment="1">
      <alignment horizontal="center"/>
    </xf>
    <xf numFmtId="0" fontId="4" fillId="6" borderId="13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5" borderId="0" xfId="0" applyFont="1" applyFill="1">
      <alignment vertical="center"/>
    </xf>
    <xf numFmtId="0" fontId="4" fillId="0" borderId="8" xfId="0" applyFont="1" applyBorder="1">
      <alignment vertical="center"/>
    </xf>
    <xf numFmtId="0" fontId="11" fillId="3" borderId="4" xfId="1" applyFont="1" applyFill="1" applyBorder="1"/>
    <xf numFmtId="0" fontId="0" fillId="8" borderId="0" xfId="0" applyFill="1" applyAlignment="1"/>
    <xf numFmtId="0" fontId="6" fillId="9" borderId="28" xfId="0" applyFont="1" applyFill="1" applyBorder="1" applyAlignment="1"/>
    <xf numFmtId="0" fontId="6" fillId="9" borderId="1" xfId="0" applyFont="1" applyFill="1" applyBorder="1">
      <alignment vertical="center"/>
    </xf>
    <xf numFmtId="0" fontId="5" fillId="9" borderId="28" xfId="0" applyFont="1" applyFill="1" applyBorder="1">
      <alignment vertical="center"/>
    </xf>
    <xf numFmtId="0" fontId="6" fillId="9" borderId="13" xfId="0" applyFont="1" applyFill="1" applyBorder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32" xfId="0" applyFont="1" applyBorder="1">
      <alignment vertical="center"/>
    </xf>
    <xf numFmtId="0" fontId="9" fillId="4" borderId="4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7" fillId="9" borderId="28" xfId="0" applyFont="1" applyFill="1" applyBorder="1" applyAlignment="1">
      <alignment horizontal="right"/>
    </xf>
    <xf numFmtId="0" fontId="20" fillId="9" borderId="34" xfId="0" applyFont="1" applyFill="1" applyBorder="1">
      <alignment vertical="center"/>
    </xf>
    <xf numFmtId="0" fontId="21" fillId="9" borderId="34" xfId="0" applyFont="1" applyFill="1" applyBorder="1" applyAlignment="1"/>
    <xf numFmtId="0" fontId="22" fillId="9" borderId="12" xfId="0" applyFont="1" applyFill="1" applyBorder="1" applyAlignment="1">
      <alignment horizontal="center"/>
    </xf>
    <xf numFmtId="0" fontId="22" fillId="9" borderId="3" xfId="0" applyFont="1" applyFill="1" applyBorder="1" applyAlignment="1">
      <alignment horizontal="center" vertical="center"/>
    </xf>
    <xf numFmtId="0" fontId="23" fillId="9" borderId="12" xfId="0" applyFont="1" applyFill="1" applyBorder="1" applyAlignment="1"/>
    <xf numFmtId="0" fontId="23" fillId="9" borderId="12" xfId="0" applyFont="1" applyFill="1" applyBorder="1">
      <alignment vertical="center"/>
    </xf>
    <xf numFmtId="0" fontId="6" fillId="9" borderId="34" xfId="0" applyFont="1" applyFill="1" applyBorder="1" applyAlignment="1"/>
    <xf numFmtId="0" fontId="5" fillId="9" borderId="34" xfId="0" applyFont="1" applyFill="1" applyBorder="1">
      <alignment vertical="center"/>
    </xf>
    <xf numFmtId="49" fontId="4" fillId="0" borderId="0" xfId="0" applyNumberFormat="1" applyFont="1">
      <alignment vertical="center"/>
    </xf>
    <xf numFmtId="49" fontId="4" fillId="0" borderId="6" xfId="0" applyNumberFormat="1" applyFont="1" applyBorder="1">
      <alignment vertical="center"/>
    </xf>
    <xf numFmtId="49" fontId="4" fillId="0" borderId="7" xfId="0" applyNumberFormat="1" applyFont="1" applyBorder="1">
      <alignment vertical="center"/>
    </xf>
    <xf numFmtId="49" fontId="4" fillId="0" borderId="12" xfId="0" applyNumberFormat="1" applyFont="1" applyBorder="1">
      <alignment vertical="center"/>
    </xf>
    <xf numFmtId="49" fontId="4" fillId="0" borderId="1" xfId="0" applyNumberFormat="1" applyFont="1" applyBorder="1" applyAlignment="1"/>
    <xf numFmtId="49" fontId="4" fillId="0" borderId="1" xfId="0" applyNumberFormat="1" applyFont="1" applyBorder="1">
      <alignment vertical="center"/>
    </xf>
    <xf numFmtId="49" fontId="0" fillId="0" borderId="1" xfId="0" applyNumberFormat="1" applyBorder="1" applyAlignment="1"/>
    <xf numFmtId="49" fontId="4" fillId="2" borderId="1" xfId="0" applyNumberFormat="1" applyFont="1" applyFill="1" applyBorder="1">
      <alignment vertical="center"/>
    </xf>
    <xf numFmtId="49" fontId="0" fillId="8" borderId="1" xfId="0" applyNumberFormat="1" applyFill="1" applyBorder="1" applyAlignment="1"/>
    <xf numFmtId="49" fontId="3" fillId="0" borderId="1" xfId="1" applyNumberFormat="1" applyBorder="1"/>
    <xf numFmtId="0" fontId="22" fillId="9" borderId="19" xfId="0" applyFont="1" applyFill="1" applyBorder="1" applyAlignment="1">
      <alignment horizontal="center"/>
    </xf>
    <xf numFmtId="0" fontId="20" fillId="9" borderId="36" xfId="0" applyFont="1" applyFill="1" applyBorder="1">
      <alignment vertical="center"/>
    </xf>
    <xf numFmtId="0" fontId="6" fillId="9" borderId="37" xfId="0" applyFont="1" applyFill="1" applyBorder="1" applyAlignment="1"/>
    <xf numFmtId="0" fontId="6" fillId="9" borderId="5" xfId="0" applyFont="1" applyFill="1" applyBorder="1" applyAlignment="1"/>
    <xf numFmtId="0" fontId="5" fillId="9" borderId="2" xfId="0" applyFont="1" applyFill="1" applyBorder="1" applyAlignment="1"/>
    <xf numFmtId="0" fontId="23" fillId="9" borderId="19" xfId="0" applyFont="1" applyFill="1" applyBorder="1" applyAlignment="1"/>
    <xf numFmtId="0" fontId="6" fillId="9" borderId="36" xfId="0" applyFont="1" applyFill="1" applyBorder="1" applyAlignment="1"/>
    <xf numFmtId="0" fontId="23" fillId="9" borderId="19" xfId="0" applyFont="1" applyFill="1" applyBorder="1">
      <alignment vertical="center"/>
    </xf>
    <xf numFmtId="0" fontId="5" fillId="9" borderId="37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9" fillId="0" borderId="30" xfId="0" applyFont="1" applyBorder="1" applyAlignment="1">
      <alignment horizontal="center"/>
    </xf>
    <xf numFmtId="0" fontId="4" fillId="0" borderId="14" xfId="0" applyFont="1" applyBorder="1">
      <alignment vertical="center"/>
    </xf>
    <xf numFmtId="0" fontId="6" fillId="9" borderId="5" xfId="0" applyFont="1" applyFill="1" applyBorder="1">
      <alignment vertical="center"/>
    </xf>
    <xf numFmtId="0" fontId="6" fillId="9" borderId="27" xfId="0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5" fillId="0" borderId="0" xfId="0" applyFont="1" applyAlignment="1"/>
    <xf numFmtId="0" fontId="10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1" fillId="9" borderId="36" xfId="0" applyFont="1" applyFill="1" applyBorder="1" applyAlignment="1"/>
    <xf numFmtId="0" fontId="21" fillId="0" borderId="32" xfId="0" applyFont="1" applyBorder="1" applyAlignment="1"/>
    <xf numFmtId="0" fontId="20" fillId="0" borderId="32" xfId="0" applyFont="1" applyBorder="1" applyAlignment="1">
      <alignment horizontal="right" vertical="center"/>
    </xf>
    <xf numFmtId="0" fontId="10" fillId="0" borderId="32" xfId="0" applyFont="1" applyBorder="1">
      <alignment vertical="center"/>
    </xf>
    <xf numFmtId="0" fontId="5" fillId="9" borderId="38" xfId="0" applyFont="1" applyFill="1" applyBorder="1">
      <alignment vertical="center"/>
    </xf>
    <xf numFmtId="0" fontId="31" fillId="0" borderId="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6" fillId="9" borderId="38" xfId="0" applyFont="1" applyFill="1" applyBorder="1">
      <alignment vertical="center"/>
    </xf>
    <xf numFmtId="0" fontId="6" fillId="9" borderId="43" xfId="0" applyFont="1" applyFill="1" applyBorder="1">
      <alignment vertical="center"/>
    </xf>
    <xf numFmtId="0" fontId="28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13" fillId="0" borderId="0" xfId="1" applyFont="1" applyAlignment="1">
      <alignment horizontal="right"/>
    </xf>
    <xf numFmtId="0" fontId="22" fillId="9" borderId="27" xfId="0" applyFont="1" applyFill="1" applyBorder="1" applyAlignment="1">
      <alignment horizontal="center" vertical="center"/>
    </xf>
    <xf numFmtId="0" fontId="7" fillId="9" borderId="5" xfId="0" applyFont="1" applyFill="1" applyBorder="1" applyAlignment="1"/>
    <xf numFmtId="0" fontId="23" fillId="9" borderId="5" xfId="0" applyFont="1" applyFill="1" applyBorder="1" applyAlignment="1"/>
    <xf numFmtId="0" fontId="18" fillId="9" borderId="5" xfId="0" applyFont="1" applyFill="1" applyBorder="1">
      <alignment vertical="center"/>
    </xf>
    <xf numFmtId="0" fontId="23" fillId="9" borderId="5" xfId="0" applyFont="1" applyFill="1" applyBorder="1">
      <alignment vertical="center"/>
    </xf>
    <xf numFmtId="0" fontId="5" fillId="9" borderId="5" xfId="0" applyFont="1" applyFill="1" applyBorder="1">
      <alignment vertical="center"/>
    </xf>
    <xf numFmtId="0" fontId="6" fillId="9" borderId="37" xfId="0" applyFont="1" applyFill="1" applyBorder="1">
      <alignment vertical="center"/>
    </xf>
    <xf numFmtId="0" fontId="23" fillId="9" borderId="27" xfId="0" applyFont="1" applyFill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6" fillId="0" borderId="31" xfId="0" applyFont="1" applyBorder="1" applyAlignment="1"/>
    <xf numFmtId="0" fontId="26" fillId="0" borderId="32" xfId="0" applyFont="1" applyBorder="1">
      <alignment vertical="center"/>
    </xf>
    <xf numFmtId="0" fontId="26" fillId="0" borderId="33" xfId="0" applyFont="1" applyBorder="1">
      <alignment vertical="center"/>
    </xf>
    <xf numFmtId="0" fontId="26" fillId="0" borderId="20" xfId="0" applyFont="1" applyBorder="1" applyAlignment="1"/>
    <xf numFmtId="0" fontId="26" fillId="0" borderId="14" xfId="0" applyFont="1" applyBorder="1">
      <alignment vertical="center"/>
    </xf>
    <xf numFmtId="0" fontId="26" fillId="0" borderId="21" xfId="0" applyFont="1" applyBorder="1">
      <alignment vertical="center"/>
    </xf>
    <xf numFmtId="0" fontId="26" fillId="2" borderId="12" xfId="0" applyFont="1" applyFill="1" applyBorder="1" applyAlignment="1"/>
    <xf numFmtId="0" fontId="26" fillId="2" borderId="1" xfId="0" applyFont="1" applyFill="1" applyBorder="1">
      <alignment vertical="center"/>
    </xf>
    <xf numFmtId="0" fontId="26" fillId="2" borderId="13" xfId="0" applyFont="1" applyFill="1" applyBorder="1">
      <alignment vertical="center"/>
    </xf>
    <xf numFmtId="0" fontId="26" fillId="2" borderId="19" xfId="0" applyFont="1" applyFill="1" applyBorder="1" applyAlignment="1"/>
    <xf numFmtId="0" fontId="26" fillId="2" borderId="1" xfId="0" applyFont="1" applyFill="1" applyBorder="1" applyAlignment="1">
      <alignment horizontal="right" vertical="center"/>
    </xf>
    <xf numFmtId="0" fontId="26" fillId="2" borderId="5" xfId="0" applyFont="1" applyFill="1" applyBorder="1">
      <alignment vertical="center"/>
    </xf>
    <xf numFmtId="0" fontId="26" fillId="2" borderId="27" xfId="0" applyFont="1" applyFill="1" applyBorder="1">
      <alignment vertical="center"/>
    </xf>
    <xf numFmtId="0" fontId="5" fillId="9" borderId="36" xfId="0" applyFont="1" applyFill="1" applyBorder="1">
      <alignment vertical="center"/>
    </xf>
    <xf numFmtId="0" fontId="28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21" fillId="0" borderId="36" xfId="0" applyFont="1" applyBorder="1" applyAlignment="1"/>
    <xf numFmtId="0" fontId="20" fillId="0" borderId="36" xfId="0" applyFont="1" applyBorder="1">
      <alignment vertical="center"/>
    </xf>
    <xf numFmtId="0" fontId="6" fillId="0" borderId="37" xfId="0" applyFont="1" applyBorder="1" applyAlignment="1"/>
    <xf numFmtId="0" fontId="6" fillId="0" borderId="36" xfId="0" applyFont="1" applyBorder="1" applyAlignment="1"/>
    <xf numFmtId="0" fontId="23" fillId="0" borderId="19" xfId="0" applyFont="1" applyBorder="1">
      <alignment vertical="center"/>
    </xf>
    <xf numFmtId="0" fontId="5" fillId="0" borderId="37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43" xfId="0" applyFont="1" applyBorder="1">
      <alignment vertical="center"/>
    </xf>
    <xf numFmtId="0" fontId="22" fillId="0" borderId="12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1" fillId="0" borderId="34" xfId="0" applyFont="1" applyBorder="1" applyAlignment="1"/>
    <xf numFmtId="0" fontId="20" fillId="0" borderId="34" xfId="0" applyFont="1" applyBorder="1">
      <alignment vertical="center"/>
    </xf>
    <xf numFmtId="0" fontId="6" fillId="0" borderId="28" xfId="0" applyFont="1" applyBorder="1" applyAlignment="1"/>
    <xf numFmtId="0" fontId="6" fillId="0" borderId="34" xfId="0" applyFont="1" applyBorder="1" applyAlignment="1"/>
    <xf numFmtId="0" fontId="5" fillId="0" borderId="34" xfId="0" applyFont="1" applyBorder="1">
      <alignment vertical="center"/>
    </xf>
    <xf numFmtId="0" fontId="23" fillId="0" borderId="12" xfId="0" applyFont="1" applyBorder="1">
      <alignment vertical="center"/>
    </xf>
    <xf numFmtId="0" fontId="5" fillId="0" borderId="28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38" xfId="0" applyFont="1" applyBorder="1">
      <alignment vertical="center"/>
    </xf>
    <xf numFmtId="0" fontId="7" fillId="0" borderId="28" xfId="0" applyFont="1" applyBorder="1" applyAlignment="1">
      <alignment horizontal="right"/>
    </xf>
    <xf numFmtId="0" fontId="5" fillId="0" borderId="38" xfId="0" applyFont="1" applyBorder="1">
      <alignment vertical="center"/>
    </xf>
    <xf numFmtId="0" fontId="23" fillId="0" borderId="12" xfId="0" applyFont="1" applyBorder="1" applyAlignment="1"/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9" borderId="17" xfId="0" applyFont="1" applyFill="1" applyBorder="1" applyAlignment="1"/>
    <xf numFmtId="0" fontId="6" fillId="9" borderId="10" xfId="0" applyFont="1" applyFill="1" applyBorder="1" applyAlignment="1"/>
    <xf numFmtId="0" fontId="5" fillId="9" borderId="41" xfId="0" applyFont="1" applyFill="1" applyBorder="1" applyAlignment="1"/>
    <xf numFmtId="0" fontId="23" fillId="9" borderId="9" xfId="0" applyFont="1" applyFill="1" applyBorder="1" applyAlignment="1"/>
    <xf numFmtId="0" fontId="6" fillId="9" borderId="39" xfId="0" applyFont="1" applyFill="1" applyBorder="1" applyAlignment="1"/>
    <xf numFmtId="0" fontId="23" fillId="0" borderId="19" xfId="0" applyFont="1" applyBorder="1" applyAlignment="1"/>
    <xf numFmtId="0" fontId="6" fillId="0" borderId="27" xfId="0" applyFont="1" applyBorder="1">
      <alignment vertical="center"/>
    </xf>
    <xf numFmtId="0" fontId="6" fillId="9" borderId="11" xfId="0" applyFont="1" applyFill="1" applyBorder="1" applyAlignment="1"/>
    <xf numFmtId="0" fontId="4" fillId="0" borderId="21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/>
    <xf numFmtId="0" fontId="5" fillId="0" borderId="0" xfId="0" applyFont="1" applyAlignment="1"/>
    <xf numFmtId="0" fontId="23" fillId="0" borderId="0" xfId="0" applyFont="1" applyAlignment="1"/>
    <xf numFmtId="0" fontId="6" fillId="0" borderId="53" xfId="0" applyFont="1" applyBorder="1" applyAlignment="1"/>
    <xf numFmtId="0" fontId="10" fillId="0" borderId="0" xfId="0" applyFont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53" xfId="0" applyFont="1" applyBorder="1">
      <alignment vertical="center"/>
    </xf>
    <xf numFmtId="0" fontId="28" fillId="0" borderId="10" xfId="0" applyFont="1" applyBorder="1" applyAlignment="1">
      <alignment horizontal="center" vertical="center"/>
    </xf>
    <xf numFmtId="0" fontId="19" fillId="9" borderId="9" xfId="0" applyFont="1" applyFill="1" applyBorder="1" applyAlignment="1">
      <alignment horizontal="center"/>
    </xf>
    <xf numFmtId="0" fontId="19" fillId="9" borderId="40" xfId="0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left"/>
    </xf>
    <xf numFmtId="0" fontId="20" fillId="9" borderId="39" xfId="0" applyFont="1" applyFill="1" applyBorder="1" applyAlignment="1">
      <alignment horizontal="center" vertical="center"/>
    </xf>
    <xf numFmtId="0" fontId="5" fillId="9" borderId="42" xfId="0" applyFont="1" applyFill="1" applyBorder="1" applyAlignment="1"/>
    <xf numFmtId="0" fontId="5" fillId="9" borderId="17" xfId="0" applyFont="1" applyFill="1" applyBorder="1" applyAlignment="1"/>
    <xf numFmtId="0" fontId="6" fillId="9" borderId="42" xfId="0" applyFont="1" applyFill="1" applyBorder="1" applyAlignment="1"/>
    <xf numFmtId="0" fontId="26" fillId="0" borderId="1" xfId="0" applyFont="1" applyBorder="1">
      <alignment vertical="center"/>
    </xf>
    <xf numFmtId="0" fontId="26" fillId="0" borderId="19" xfId="0" applyFont="1" applyBorder="1" applyAlignment="1"/>
    <xf numFmtId="0" fontId="26" fillId="0" borderId="5" xfId="0" applyFont="1" applyBorder="1">
      <alignment vertical="center"/>
    </xf>
    <xf numFmtId="0" fontId="26" fillId="0" borderId="27" xfId="0" applyFont="1" applyBorder="1">
      <alignment vertical="center"/>
    </xf>
    <xf numFmtId="0" fontId="26" fillId="0" borderId="48" xfId="0" applyFont="1" applyBorder="1" applyAlignment="1"/>
    <xf numFmtId="0" fontId="26" fillId="0" borderId="4" xfId="0" applyFont="1" applyBorder="1">
      <alignment vertical="center"/>
    </xf>
    <xf numFmtId="0" fontId="26" fillId="0" borderId="52" xfId="0" applyFont="1" applyBorder="1">
      <alignment vertical="center"/>
    </xf>
    <xf numFmtId="0" fontId="26" fillId="0" borderId="54" xfId="0" applyFont="1" applyBorder="1">
      <alignment vertical="center"/>
    </xf>
    <xf numFmtId="0" fontId="26" fillId="2" borderId="9" xfId="0" applyFont="1" applyFill="1" applyBorder="1" applyAlignment="1"/>
    <xf numFmtId="0" fontId="26" fillId="2" borderId="10" xfId="0" applyFont="1" applyFill="1" applyBorder="1">
      <alignment vertical="center"/>
    </xf>
    <xf numFmtId="0" fontId="26" fillId="2" borderId="11" xfId="0" applyFont="1" applyFill="1" applyBorder="1">
      <alignment vertical="center"/>
    </xf>
    <xf numFmtId="0" fontId="5" fillId="0" borderId="43" xfId="0" applyFont="1" applyBorder="1">
      <alignment vertical="center"/>
    </xf>
    <xf numFmtId="0" fontId="22" fillId="0" borderId="48" xfId="0" applyFont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0" fontId="21" fillId="0" borderId="50" xfId="0" applyFont="1" applyBorder="1" applyAlignment="1"/>
    <xf numFmtId="0" fontId="20" fillId="0" borderId="50" xfId="0" applyFont="1" applyBorder="1">
      <alignment vertical="center"/>
    </xf>
    <xf numFmtId="0" fontId="6" fillId="0" borderId="51" xfId="0" applyFont="1" applyBorder="1" applyAlignment="1"/>
    <xf numFmtId="0" fontId="7" fillId="0" borderId="51" xfId="0" applyFont="1" applyBorder="1" applyAlignment="1">
      <alignment horizontal="right"/>
    </xf>
    <xf numFmtId="0" fontId="23" fillId="0" borderId="48" xfId="0" applyFont="1" applyBorder="1" applyAlignment="1"/>
    <xf numFmtId="0" fontId="6" fillId="0" borderId="50" xfId="0" applyFont="1" applyBorder="1" applyAlignment="1"/>
    <xf numFmtId="0" fontId="5" fillId="0" borderId="53" xfId="0" applyFont="1" applyBorder="1">
      <alignment vertical="center"/>
    </xf>
    <xf numFmtId="0" fontId="23" fillId="0" borderId="48" xfId="0" applyFont="1" applyBorder="1">
      <alignment vertical="center"/>
    </xf>
    <xf numFmtId="0" fontId="5" fillId="0" borderId="51" xfId="0" applyFont="1" applyBorder="1">
      <alignment vertical="center"/>
    </xf>
    <xf numFmtId="0" fontId="6" fillId="0" borderId="52" xfId="0" applyFont="1" applyBorder="1">
      <alignment vertical="center"/>
    </xf>
    <xf numFmtId="0" fontId="6" fillId="0" borderId="54" xfId="0" applyFont="1" applyBorder="1">
      <alignment vertical="center"/>
    </xf>
    <xf numFmtId="0" fontId="6" fillId="0" borderId="53" xfId="0" applyFont="1" applyBorder="1">
      <alignment vertical="center"/>
    </xf>
    <xf numFmtId="0" fontId="7" fillId="9" borderId="37" xfId="0" applyFont="1" applyFill="1" applyBorder="1" applyAlignment="1">
      <alignment horizontal="right"/>
    </xf>
    <xf numFmtId="0" fontId="18" fillId="9" borderId="43" xfId="0" applyFont="1" applyFill="1" applyBorder="1">
      <alignment vertical="center"/>
    </xf>
    <xf numFmtId="0" fontId="6" fillId="9" borderId="12" xfId="0" applyFont="1" applyFill="1" applyBorder="1">
      <alignment vertical="center"/>
    </xf>
    <xf numFmtId="0" fontId="23" fillId="9" borderId="43" xfId="0" applyFont="1" applyFill="1" applyBorder="1">
      <alignment vertical="center"/>
    </xf>
    <xf numFmtId="0" fontId="28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8" fillId="9" borderId="19" xfId="0" applyFont="1" applyFill="1" applyBorder="1">
      <alignment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>
      <alignment vertical="center"/>
    </xf>
    <xf numFmtId="0" fontId="29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2" xfId="0" applyFont="1" applyBorder="1" applyAlignment="1"/>
    <xf numFmtId="0" fontId="26" fillId="0" borderId="13" xfId="0" applyFont="1" applyBorder="1">
      <alignment vertical="center"/>
    </xf>
    <xf numFmtId="0" fontId="22" fillId="9" borderId="9" xfId="0" applyFont="1" applyFill="1" applyBorder="1" applyAlignment="1">
      <alignment horizontal="center"/>
    </xf>
    <xf numFmtId="0" fontId="21" fillId="9" borderId="39" xfId="0" applyFont="1" applyFill="1" applyBorder="1" applyAlignment="1"/>
    <xf numFmtId="0" fontId="20" fillId="9" borderId="39" xfId="0" applyFont="1" applyFill="1" applyBorder="1">
      <alignment vertical="center"/>
    </xf>
    <xf numFmtId="0" fontId="6" fillId="9" borderId="10" xfId="0" applyFont="1" applyFill="1" applyBorder="1">
      <alignment vertical="center"/>
    </xf>
    <xf numFmtId="0" fontId="6" fillId="9" borderId="11" xfId="0" applyFont="1" applyFill="1" applyBorder="1">
      <alignment vertical="center"/>
    </xf>
    <xf numFmtId="0" fontId="22" fillId="9" borderId="40" xfId="0" applyFont="1" applyFill="1" applyBorder="1" applyAlignment="1">
      <alignment horizontal="center" vertical="center"/>
    </xf>
    <xf numFmtId="0" fontId="5" fillId="9" borderId="39" xfId="0" applyFont="1" applyFill="1" applyBorder="1">
      <alignment vertical="center"/>
    </xf>
    <xf numFmtId="0" fontId="23" fillId="9" borderId="9" xfId="0" applyFont="1" applyFill="1" applyBorder="1">
      <alignment vertical="center"/>
    </xf>
    <xf numFmtId="0" fontId="5" fillId="9" borderId="17" xfId="0" applyFont="1" applyFill="1" applyBorder="1">
      <alignment vertical="center"/>
    </xf>
    <xf numFmtId="0" fontId="6" fillId="9" borderId="42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 2" xfId="1" xr:uid="{715B1042-8FEC-4448-81B4-1BDBD7043097}"/>
  </cellStyles>
  <dxfs count="0"/>
  <tableStyles count="0" defaultTableStyle="TableStyleMedium2" defaultPivotStyle="PivotStyleLight16"/>
  <colors>
    <mruColors>
      <color rgb="FF3ACE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B829-0EA7-4C62-B78A-A643FD229BC7}">
  <sheetPr codeName="Sheet1">
    <pageSetUpPr fitToPage="1"/>
  </sheetPr>
  <dimension ref="A1:AN150"/>
  <sheetViews>
    <sheetView tabSelected="1" view="pageBreakPreview" topLeftCell="H1" zoomScale="64" zoomScaleNormal="100" zoomScaleSheetLayoutView="64" workbookViewId="0">
      <pane ySplit="3" topLeftCell="A4" activePane="bottomLeft" state="frozen"/>
      <selection activeCell="S26" sqref="S26"/>
      <selection pane="bottomLeft" activeCell="V5" sqref="V5"/>
    </sheetView>
  </sheetViews>
  <sheetFormatPr defaultColWidth="9" defaultRowHeight="16.5" x14ac:dyDescent="0.3"/>
  <cols>
    <col min="1" max="1" width="20.125" style="1" hidden="1" customWidth="1"/>
    <col min="2" max="2" width="19.25" style="1" bestFit="1" customWidth="1"/>
    <col min="3" max="3" width="15" style="1" customWidth="1"/>
    <col min="4" max="4" width="8.25" style="1" customWidth="1"/>
    <col min="5" max="6" width="2.625" style="1" customWidth="1"/>
    <col min="7" max="7" width="9" style="65" customWidth="1"/>
    <col min="8" max="8" width="35.625" style="65" customWidth="1"/>
    <col min="9" max="9" width="13.625" style="65" customWidth="1"/>
    <col min="10" max="10" width="10.625" style="1" customWidth="1"/>
    <col min="11" max="13" width="2.625" style="1" customWidth="1"/>
    <col min="14" max="14" width="14.75" style="1" bestFit="1" customWidth="1"/>
    <col min="15" max="15" width="12.625" style="1" customWidth="1"/>
    <col min="16" max="16" width="39.625" style="1" customWidth="1"/>
    <col min="17" max="17" width="12.625" style="1" customWidth="1"/>
    <col min="18" max="18" width="16.875" style="1" bestFit="1" customWidth="1"/>
    <col min="19" max="25" width="10.625" style="1" customWidth="1"/>
    <col min="26" max="26" width="12.625" style="1" customWidth="1"/>
    <col min="27" max="30" width="10.625" style="1" customWidth="1"/>
    <col min="31" max="31" width="9.625" style="1" customWidth="1"/>
    <col min="32" max="32" width="13.625" style="1" customWidth="1"/>
    <col min="33" max="33" width="17.375" style="1" bestFit="1" customWidth="1"/>
    <col min="34" max="34" width="51.5" style="1" customWidth="1"/>
    <col min="35" max="35" width="18.625" style="1" bestFit="1" customWidth="1"/>
    <col min="36" max="36" width="20" style="1" customWidth="1"/>
    <col min="37" max="37" width="8.375" style="1" hidden="1" customWidth="1"/>
    <col min="38" max="38" width="17.75" style="1" bestFit="1" customWidth="1"/>
    <col min="39" max="39" width="27.25" style="1" hidden="1" customWidth="1"/>
    <col min="40" max="40" width="26.25" style="1" customWidth="1"/>
    <col min="41" max="16384" width="9" style="1"/>
  </cols>
  <sheetData>
    <row r="1" spans="1:33" ht="24" customHeight="1" thickBot="1" x14ac:dyDescent="0.35">
      <c r="B1" s="6"/>
      <c r="C1" s="6"/>
      <c r="N1" s="284" t="s">
        <v>11</v>
      </c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6"/>
      <c r="AE1" s="84"/>
      <c r="AF1" s="84"/>
    </row>
    <row r="2" spans="1:33" ht="24" customHeight="1" thickBot="1" x14ac:dyDescent="0.35">
      <c r="A2" s="279" t="s">
        <v>35</v>
      </c>
      <c r="B2" s="279"/>
      <c r="C2" s="279"/>
      <c r="D2" s="279"/>
      <c r="G2" s="277" t="s">
        <v>17</v>
      </c>
      <c r="H2" s="277"/>
      <c r="I2" s="277"/>
      <c r="J2" s="277"/>
      <c r="L2" s="3"/>
      <c r="M2" s="3"/>
      <c r="N2" s="283" t="s">
        <v>117</v>
      </c>
      <c r="O2" s="283"/>
      <c r="P2" s="278" t="s">
        <v>14</v>
      </c>
      <c r="Q2" s="280" t="s">
        <v>19</v>
      </c>
      <c r="R2" s="278" t="s">
        <v>12</v>
      </c>
      <c r="S2" s="278"/>
      <c r="T2" s="278"/>
      <c r="U2" s="278"/>
      <c r="V2" s="278"/>
      <c r="W2" s="278"/>
      <c r="X2" s="86"/>
      <c r="Y2" s="278" t="s">
        <v>88</v>
      </c>
      <c r="Z2" s="278"/>
      <c r="AA2" s="278"/>
      <c r="AB2" s="278"/>
      <c r="AC2" s="278" t="s">
        <v>75</v>
      </c>
      <c r="AD2" s="278"/>
      <c r="AE2" s="87"/>
      <c r="AF2" s="277" t="s">
        <v>21</v>
      </c>
      <c r="AG2" s="277" t="s">
        <v>22</v>
      </c>
    </row>
    <row r="3" spans="1:33" ht="24" customHeight="1" thickBot="1" x14ac:dyDescent="0.35">
      <c r="A3" s="5" t="s">
        <v>18</v>
      </c>
      <c r="B3" s="45" t="s">
        <v>94</v>
      </c>
      <c r="C3" s="45" t="s">
        <v>3</v>
      </c>
      <c r="D3" s="45" t="s">
        <v>10</v>
      </c>
      <c r="G3" s="66" t="s">
        <v>9</v>
      </c>
      <c r="H3" s="67" t="s">
        <v>8</v>
      </c>
      <c r="I3" s="67" t="s">
        <v>3</v>
      </c>
      <c r="J3" s="44" t="s">
        <v>1</v>
      </c>
      <c r="N3" s="85" t="s">
        <v>168</v>
      </c>
      <c r="O3" s="85" t="s">
        <v>92</v>
      </c>
      <c r="P3" s="278"/>
      <c r="Q3" s="280"/>
      <c r="R3" s="88" t="s">
        <v>24</v>
      </c>
      <c r="S3" s="89" t="s">
        <v>29</v>
      </c>
      <c r="T3" s="90" t="s">
        <v>13</v>
      </c>
      <c r="U3" s="91" t="s">
        <v>13</v>
      </c>
      <c r="V3" s="92" t="s">
        <v>28</v>
      </c>
      <c r="W3" s="89" t="s">
        <v>28</v>
      </c>
      <c r="X3" s="91" t="s">
        <v>13</v>
      </c>
      <c r="Y3" s="93" t="s">
        <v>13</v>
      </c>
      <c r="Z3" s="94" t="s">
        <v>102</v>
      </c>
      <c r="AA3" s="95" t="s">
        <v>26</v>
      </c>
      <c r="AB3" s="89" t="s">
        <v>26</v>
      </c>
      <c r="AC3" s="93" t="s">
        <v>13</v>
      </c>
      <c r="AD3" s="126" t="s">
        <v>25</v>
      </c>
      <c r="AE3" s="87"/>
      <c r="AF3" s="277"/>
      <c r="AG3" s="277"/>
    </row>
    <row r="4" spans="1:33" ht="24" customHeight="1" x14ac:dyDescent="0.3">
      <c r="A4" s="42" t="str">
        <f>B4&amp;C4</f>
        <v>-------[Gourmet M]피넛머드[스무스]</v>
      </c>
      <c r="B4" s="4" t="s">
        <v>204</v>
      </c>
      <c r="C4" s="4" t="s">
        <v>152</v>
      </c>
      <c r="D4" s="4">
        <v>7</v>
      </c>
      <c r="G4" s="68" t="s">
        <v>5</v>
      </c>
      <c r="H4" s="69" t="s">
        <v>119</v>
      </c>
      <c r="I4" s="69"/>
      <c r="J4" s="8">
        <f>IFERROR(VLOOKUP(H4&amp;I4,$A$3:$D$101,4,0),0)</f>
        <v>250</v>
      </c>
      <c r="N4" s="248"/>
      <c r="O4" s="249"/>
      <c r="P4" s="250"/>
      <c r="Q4" s="251"/>
      <c r="R4" s="252"/>
      <c r="S4" s="253"/>
      <c r="T4" s="254"/>
      <c r="U4" s="255"/>
      <c r="V4" s="253"/>
      <c r="W4" s="256"/>
      <c r="X4" s="257"/>
      <c r="Y4" s="255"/>
      <c r="Z4" s="258"/>
      <c r="AA4" s="141"/>
      <c r="AB4" s="256"/>
      <c r="AC4" s="255"/>
      <c r="AD4" s="256"/>
      <c r="AE4" s="87"/>
      <c r="AF4" s="112"/>
      <c r="AG4" s="112"/>
    </row>
    <row r="5" spans="1:33" ht="24" customHeight="1" x14ac:dyDescent="0.45">
      <c r="A5" s="42" t="str">
        <f>B5&amp;C5</f>
        <v>-------소분용 OPP 봉투 20매[간식용]</v>
      </c>
      <c r="B5" s="4" t="s">
        <v>205</v>
      </c>
      <c r="C5" s="4" t="s">
        <v>206</v>
      </c>
      <c r="D5" s="4">
        <v>1</v>
      </c>
      <c r="G5" s="68"/>
      <c r="H5" s="69" t="s">
        <v>120</v>
      </c>
      <c r="I5" s="69"/>
      <c r="J5" s="8">
        <f>IFERROR(VLOOKUP(H5&amp;I5,$A$3:$D$101,4,0),0)</f>
        <v>8</v>
      </c>
      <c r="N5" s="75">
        <v>1</v>
      </c>
      <c r="O5" s="119">
        <v>4</v>
      </c>
      <c r="P5" s="120" t="s">
        <v>0</v>
      </c>
      <c r="Q5" s="76">
        <f>U5+AC5+Y5</f>
        <v>32</v>
      </c>
      <c r="R5" s="77">
        <f>J24</f>
        <v>252</v>
      </c>
      <c r="S5" s="243"/>
      <c r="T5" s="79">
        <f>ROUNDUP(R5/8,0)</f>
        <v>32</v>
      </c>
      <c r="U5" s="80">
        <f>IF(((AA5=1)*AND(V5&gt;=4)),T5-0.5,T5+IF(AA5=1,0.5,0))</f>
        <v>32</v>
      </c>
      <c r="V5" s="77">
        <f>T5*8-R5</f>
        <v>4</v>
      </c>
      <c r="W5" s="81">
        <f>IF((V5+4*AA5)&gt;=8,(V5+4*AA5)-8,(V5+4*AA5))</f>
        <v>4</v>
      </c>
      <c r="X5" s="160"/>
      <c r="Y5" s="82"/>
      <c r="Z5" s="83"/>
      <c r="AA5" s="99"/>
      <c r="AB5" s="100"/>
      <c r="AC5" s="259"/>
      <c r="AD5" s="128"/>
      <c r="AE5" s="87"/>
      <c r="AF5" s="1">
        <v>170</v>
      </c>
      <c r="AG5" s="1">
        <f>Q5*AF5</f>
        <v>5440</v>
      </c>
    </row>
    <row r="6" spans="1:33" ht="24" customHeight="1" x14ac:dyDescent="0.45">
      <c r="A6" s="42" t="str">
        <f>B6&amp;C6</f>
        <v>-------소분용 OPP 봉투 20매[식사용]</v>
      </c>
      <c r="B6" s="4" t="s">
        <v>205</v>
      </c>
      <c r="C6" s="4" t="s">
        <v>207</v>
      </c>
      <c r="D6" s="4">
        <v>6</v>
      </c>
      <c r="G6" s="68"/>
      <c r="H6" s="70" t="s">
        <v>121</v>
      </c>
      <c r="I6" s="71"/>
      <c r="J6" s="41">
        <f>IFERROR(VLOOKUP(H6&amp;I6,$A$3:$D$101,4,0),0)</f>
        <v>4</v>
      </c>
      <c r="N6" s="173">
        <v>2</v>
      </c>
      <c r="O6" s="174">
        <v>4</v>
      </c>
      <c r="P6" s="175" t="s">
        <v>15</v>
      </c>
      <c r="Q6" s="176">
        <f>U6+AC6+Y6</f>
        <v>37</v>
      </c>
      <c r="R6" s="177">
        <f>J4</f>
        <v>250</v>
      </c>
      <c r="S6" s="177"/>
      <c r="T6" s="79">
        <f>ROUNDUP(R6/8,0)</f>
        <v>32</v>
      </c>
      <c r="U6" s="196">
        <f>IF(((AA6=1)*AND(V6&gt;=4)),T6-0.5,T6+IF(AA6=1,0.5,0))</f>
        <v>32</v>
      </c>
      <c r="V6" s="77">
        <f>T6*8-R6</f>
        <v>6</v>
      </c>
      <c r="W6" s="178">
        <f>IF((V6+4*AA6)&gt;=8,(V6+4*AA6)-8,(V6+4*AA6))</f>
        <v>6</v>
      </c>
      <c r="X6" s="179">
        <f>ROUNDUP(J6/2,0)</f>
        <v>2</v>
      </c>
      <c r="Y6" s="180">
        <f>IF(AA6=1,X6-0.5,X6)</f>
        <v>2</v>
      </c>
      <c r="Z6" s="181"/>
      <c r="AA6" s="182">
        <f>X6*2-J6</f>
        <v>0</v>
      </c>
      <c r="AB6" s="183"/>
      <c r="AC6" s="180">
        <f>ROUNDUP((J49/9)+(J5/3),0)</f>
        <v>3</v>
      </c>
      <c r="AD6" s="184">
        <f>(AC6*9-(J49+J5*3))</f>
        <v>0</v>
      </c>
      <c r="AE6" s="87"/>
      <c r="AF6" s="1">
        <v>174</v>
      </c>
      <c r="AG6" s="1">
        <f>Q6*AF6</f>
        <v>6438</v>
      </c>
    </row>
    <row r="7" spans="1:33" ht="24" customHeight="1" x14ac:dyDescent="0.45">
      <c r="A7" s="42" t="str">
        <f>B7&amp;C7</f>
        <v>------YOF6팩</v>
      </c>
      <c r="B7" s="4" t="s">
        <v>208</v>
      </c>
      <c r="C7" s="4"/>
      <c r="D7" s="4">
        <v>2</v>
      </c>
      <c r="G7" s="68" t="s">
        <v>4</v>
      </c>
      <c r="H7" s="69" t="s">
        <v>122</v>
      </c>
      <c r="I7" s="69"/>
      <c r="J7" s="8">
        <f t="shared" ref="J7:J9" si="0">IFERROR(VLOOKUP(H7&amp;I7,$A$3:$D$101,4,0),0)</f>
        <v>106</v>
      </c>
      <c r="N7" s="59">
        <v>11</v>
      </c>
      <c r="O7" s="60">
        <v>4</v>
      </c>
      <c r="P7" s="58" t="s">
        <v>2</v>
      </c>
      <c r="Q7" s="57">
        <f>U7+AC7+Y7</f>
        <v>20</v>
      </c>
      <c r="R7" s="47">
        <f>J7</f>
        <v>106</v>
      </c>
      <c r="S7" s="56"/>
      <c r="T7" s="79">
        <f>ROUNDUP(R7/8,0)</f>
        <v>14</v>
      </c>
      <c r="U7" s="80">
        <f>IF(((AA7=1)*AND(V7&gt;=4)),T7-0.5,T7+IF(AA7=1,0.5,0))</f>
        <v>13.5</v>
      </c>
      <c r="V7" s="77">
        <f>T7*8-R7</f>
        <v>6</v>
      </c>
      <c r="W7" s="63">
        <f>IF((V7+4*AA7)&gt;=8,(V7+4*AA7)-8,(V7+4*AA7))</f>
        <v>2</v>
      </c>
      <c r="X7" s="64">
        <f>ROUNDUP(J9/2,0)</f>
        <v>1</v>
      </c>
      <c r="Y7" s="62">
        <f>IF(AA7=1,X7-0.5,X7)</f>
        <v>0.5</v>
      </c>
      <c r="Z7" s="49"/>
      <c r="AA7" s="48">
        <f>X7*2-J9</f>
        <v>1</v>
      </c>
      <c r="AB7" s="50"/>
      <c r="AC7" s="62">
        <f>ROUNDUP(J8/3,0)</f>
        <v>6</v>
      </c>
      <c r="AD7" s="127">
        <f>(AC7*9-J8*3)</f>
        <v>0</v>
      </c>
      <c r="AE7" s="87"/>
      <c r="AF7" s="1">
        <v>160</v>
      </c>
      <c r="AG7" s="1">
        <f>Q7*AF7</f>
        <v>3200</v>
      </c>
    </row>
    <row r="8" spans="1:33" ht="24" customHeight="1" x14ac:dyDescent="0.45">
      <c r="A8" s="42" t="str">
        <f>B8&amp;C8</f>
        <v>------요프 한 가지 맛[ 말차]</v>
      </c>
      <c r="B8" s="4" t="s">
        <v>209</v>
      </c>
      <c r="C8" s="4" t="s">
        <v>210</v>
      </c>
      <c r="D8" s="4">
        <v>2</v>
      </c>
      <c r="G8" s="68"/>
      <c r="H8" s="69" t="s">
        <v>123</v>
      </c>
      <c r="I8" s="69"/>
      <c r="J8" s="8">
        <f t="shared" si="0"/>
        <v>18</v>
      </c>
      <c r="N8" s="173">
        <v>4</v>
      </c>
      <c r="O8" s="174">
        <v>4</v>
      </c>
      <c r="P8" s="175" t="s">
        <v>87</v>
      </c>
      <c r="Q8" s="176">
        <f>U8+AC8+Y8</f>
        <v>59</v>
      </c>
      <c r="R8" s="177">
        <f>J13</f>
        <v>358</v>
      </c>
      <c r="S8" s="177"/>
      <c r="T8" s="79">
        <f>ROUNDUP(R8/8,0)</f>
        <v>45</v>
      </c>
      <c r="U8" s="196">
        <f>IF(((AA8=1)*AND(V8&gt;=4)),T8-0.5,T8+IF(AA8=1,0.5,0))</f>
        <v>45</v>
      </c>
      <c r="V8" s="77">
        <f>T8*8-R8</f>
        <v>2</v>
      </c>
      <c r="W8" s="178">
        <f>IF((V8+4*AA8)&gt;=8,(V8+4*AA8)-8,(V8+4*AA8))</f>
        <v>2</v>
      </c>
      <c r="X8" s="179">
        <f>ROUNDUP(J15/2,0)</f>
        <v>4</v>
      </c>
      <c r="Y8" s="180">
        <f>IF(AA8=1,X8-0.5,X8)</f>
        <v>4</v>
      </c>
      <c r="Z8" s="181"/>
      <c r="AA8" s="182">
        <f>X8*2-J15</f>
        <v>0</v>
      </c>
      <c r="AB8" s="183"/>
      <c r="AC8" s="180">
        <f>ROUNDUP((J49/9)+(J14/3),0)</f>
        <v>10</v>
      </c>
      <c r="AD8" s="184">
        <f>(AC8*9-(J49+J14*3))</f>
        <v>3</v>
      </c>
      <c r="AE8" s="87"/>
      <c r="AF8" s="1">
        <v>170</v>
      </c>
      <c r="AG8" s="1">
        <f>Q8*AF8</f>
        <v>10030</v>
      </c>
    </row>
    <row r="9" spans="1:33" ht="24" customHeight="1" thickBot="1" x14ac:dyDescent="0.5">
      <c r="A9" s="42" t="str">
        <f t="shared" ref="A9:A51" si="1">B9&amp;C9</f>
        <v>------요프 한 가지 맛[ 쑥]</v>
      </c>
      <c r="B9" s="4" t="s">
        <v>209</v>
      </c>
      <c r="C9" s="4" t="s">
        <v>211</v>
      </c>
      <c r="D9" s="4">
        <v>1</v>
      </c>
      <c r="G9" s="68"/>
      <c r="H9" s="69" t="s">
        <v>124</v>
      </c>
      <c r="I9" s="72"/>
      <c r="J9" s="8">
        <f t="shared" si="0"/>
        <v>1</v>
      </c>
      <c r="N9" s="267">
        <v>7</v>
      </c>
      <c r="O9" s="272">
        <v>8</v>
      </c>
      <c r="P9" s="268" t="s">
        <v>118</v>
      </c>
      <c r="Q9" s="269">
        <f>U9+AC9+Y9</f>
        <v>28</v>
      </c>
      <c r="R9" s="191">
        <f>J42</f>
        <v>155</v>
      </c>
      <c r="S9" s="191"/>
      <c r="T9" s="79">
        <f>ROUNDUP(R9/8,0)</f>
        <v>20</v>
      </c>
      <c r="U9" s="194">
        <f>IF(((AA9=1)*AND(V9&gt;=4)),T9-0.5,T9+IF(AA9=1,0.5,0))</f>
        <v>19.5</v>
      </c>
      <c r="V9" s="77">
        <f>T9*8-R9</f>
        <v>5</v>
      </c>
      <c r="W9" s="195">
        <f>IF((V9+4*AA9)&gt;=8,(V9+4*AA9)-8,(V9+4*AA9))</f>
        <v>1</v>
      </c>
      <c r="X9" s="273">
        <f>ROUNDUP(J44/2,0)</f>
        <v>3</v>
      </c>
      <c r="Y9" s="274">
        <f>IF(AA9=1,X9-0.5,X9)</f>
        <v>2.5</v>
      </c>
      <c r="Z9" s="275"/>
      <c r="AA9" s="270">
        <f>X9*2-J44</f>
        <v>1</v>
      </c>
      <c r="AB9" s="271"/>
      <c r="AC9" s="274">
        <f>ROUNDUP(J43/3,0)</f>
        <v>6</v>
      </c>
      <c r="AD9" s="276">
        <f>(AC9*9-J43*3)</f>
        <v>6</v>
      </c>
      <c r="AE9" s="87"/>
      <c r="AF9" s="1">
        <v>130</v>
      </c>
      <c r="AG9" s="1">
        <f>Q9*AF9</f>
        <v>3640</v>
      </c>
    </row>
    <row r="10" spans="1:33" ht="24" customHeight="1" x14ac:dyDescent="0.3">
      <c r="A10" s="42" t="str">
        <f t="shared" si="1"/>
        <v>------요프 한 가지 맛[ 콩가루]</v>
      </c>
      <c r="B10" s="4" t="s">
        <v>209</v>
      </c>
      <c r="C10" s="4" t="s">
        <v>154</v>
      </c>
      <c r="D10" s="4">
        <v>1</v>
      </c>
      <c r="G10" s="68" t="s">
        <v>6</v>
      </c>
      <c r="H10" s="69" t="s">
        <v>125</v>
      </c>
      <c r="I10" s="69"/>
      <c r="J10" s="8">
        <f>IFERROR(VLOOKUP(H10&amp;I10,$A$3:$D$68,4,0),0)</f>
        <v>193</v>
      </c>
    </row>
    <row r="11" spans="1:33" ht="24" customHeight="1" thickBot="1" x14ac:dyDescent="0.35">
      <c r="A11" s="42" t="str">
        <f t="shared" si="1"/>
        <v>-----[미니쉐이크]쑥인절미</v>
      </c>
      <c r="B11" s="4" t="s">
        <v>212</v>
      </c>
      <c r="C11" s="4"/>
      <c r="D11" s="4">
        <v>5</v>
      </c>
      <c r="G11" s="68"/>
      <c r="H11" s="69" t="s">
        <v>126</v>
      </c>
      <c r="I11" s="69"/>
      <c r="J11" s="8">
        <f>IFERROR(VLOOKUP(H11&amp;I11,$A$3:$D$68,4,0),0)</f>
        <v>19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</row>
    <row r="12" spans="1:33" ht="24" customHeight="1" x14ac:dyDescent="0.45">
      <c r="A12" s="42" t="str">
        <f t="shared" si="1"/>
        <v>-----[미니쉐이크]카카오파베</v>
      </c>
      <c r="B12" s="4" t="s">
        <v>213</v>
      </c>
      <c r="C12" s="4"/>
      <c r="D12" s="4">
        <v>15</v>
      </c>
      <c r="G12" s="68"/>
      <c r="H12" s="69" t="s">
        <v>127</v>
      </c>
      <c r="I12" s="72"/>
      <c r="J12" s="8">
        <f t="shared" ref="J12:J17" si="2">IFERROR(VLOOKUP(H12&amp;I12,$A$3:$D$101,4,0),0)</f>
        <v>5</v>
      </c>
      <c r="N12" s="75"/>
      <c r="O12" s="133">
        <v>2</v>
      </c>
      <c r="P12" s="120" t="s">
        <v>194</v>
      </c>
      <c r="Q12" s="76">
        <f>Y12</f>
        <v>2</v>
      </c>
      <c r="R12" s="77"/>
      <c r="S12" s="134"/>
      <c r="T12" s="79">
        <f t="shared" ref="T12:T22" si="3">ROUNDUP(R12/8,0)</f>
        <v>0</v>
      </c>
      <c r="U12" s="135"/>
      <c r="V12" s="77">
        <f t="shared" ref="V12:V22" si="4">T12*8-R12</f>
        <v>0</v>
      </c>
      <c r="W12" s="78"/>
      <c r="X12" s="136">
        <f>ROUNDUP((J25+J49)/4,0)</f>
        <v>2</v>
      </c>
      <c r="Y12" s="137">
        <f>IF(Z12&gt;0,IF(AA12&gt;=4,X12-1,X12),X12)</f>
        <v>2</v>
      </c>
      <c r="Z12" s="138"/>
      <c r="AA12" s="99">
        <f>X12*4-J25-J49+Z12</f>
        <v>0</v>
      </c>
      <c r="AB12" s="100">
        <f>IF(Z12&gt;0,IF(AA12&gt;=4,AA12-4,AA12),AA12)</f>
        <v>0</v>
      </c>
      <c r="AC12" s="139"/>
      <c r="AD12" s="140"/>
      <c r="AE12" s="87"/>
      <c r="AF12" s="1">
        <v>190</v>
      </c>
      <c r="AG12" s="1">
        <f t="shared" ref="AG12:AG22" si="5">Q12*AF12</f>
        <v>380</v>
      </c>
    </row>
    <row r="13" spans="1:33" ht="24" customHeight="1" x14ac:dyDescent="0.45">
      <c r="A13" s="42" t="str">
        <f t="shared" si="1"/>
        <v>-----[하프팩]OXO미니큐브</v>
      </c>
      <c r="B13" s="4" t="s">
        <v>214</v>
      </c>
      <c r="C13" s="4"/>
      <c r="D13" s="4">
        <v>9</v>
      </c>
      <c r="G13" s="68" t="s">
        <v>111</v>
      </c>
      <c r="H13" s="70" t="s">
        <v>128</v>
      </c>
      <c r="I13" s="71"/>
      <c r="J13" s="41">
        <f t="shared" si="2"/>
        <v>358</v>
      </c>
      <c r="N13" s="173">
        <v>1</v>
      </c>
      <c r="O13" s="174">
        <v>4</v>
      </c>
      <c r="P13" s="175" t="s">
        <v>16</v>
      </c>
      <c r="Q13" s="176">
        <f>U13+AC13+Y13</f>
        <v>41</v>
      </c>
      <c r="R13" s="177">
        <f>J16</f>
        <v>293</v>
      </c>
      <c r="S13" s="177"/>
      <c r="T13" s="79">
        <f t="shared" si="3"/>
        <v>37</v>
      </c>
      <c r="U13" s="187">
        <f>IF(((AA13=1)*AND(V13&gt;=5)),T13-0.5,T13+IF(AA13=1,0.5,0))</f>
        <v>37.5</v>
      </c>
      <c r="V13" s="77">
        <f t="shared" si="4"/>
        <v>3</v>
      </c>
      <c r="W13" s="178">
        <f>IF((V13+5*AA13)&gt;=10,(V13+5*AA13)-10,(V13+5*AA13))</f>
        <v>8</v>
      </c>
      <c r="X13" s="186">
        <f>ROUNDUP(J17/2,0)</f>
        <v>4</v>
      </c>
      <c r="Y13" s="180">
        <f t="shared" ref="Y13" si="6">IF(AA13=1,X13-0.5,X13)</f>
        <v>3.5</v>
      </c>
      <c r="Z13" s="181"/>
      <c r="AA13" s="182">
        <f>X13*2-J17</f>
        <v>1</v>
      </c>
      <c r="AB13" s="183"/>
      <c r="AC13" s="180"/>
      <c r="AD13" s="184"/>
      <c r="AF13" s="1">
        <v>160</v>
      </c>
      <c r="AG13" s="1">
        <f t="shared" si="5"/>
        <v>6560</v>
      </c>
    </row>
    <row r="14" spans="1:33" ht="24" customHeight="1" x14ac:dyDescent="0.45">
      <c r="A14" s="42" t="str">
        <f t="shared" si="1"/>
        <v>-----[하프팩]귀초칩미니큐브</v>
      </c>
      <c r="B14" s="4" t="s">
        <v>215</v>
      </c>
      <c r="C14" s="4"/>
      <c r="D14" s="4">
        <v>4</v>
      </c>
      <c r="G14" s="68"/>
      <c r="H14" s="69" t="s">
        <v>129</v>
      </c>
      <c r="I14" s="69"/>
      <c r="J14" s="41">
        <f t="shared" si="2"/>
        <v>28</v>
      </c>
      <c r="N14" s="75"/>
      <c r="O14" s="119">
        <v>2</v>
      </c>
      <c r="P14" s="120" t="s">
        <v>195</v>
      </c>
      <c r="Q14" s="76">
        <f>Y14</f>
        <v>4</v>
      </c>
      <c r="R14" s="77"/>
      <c r="S14" s="243"/>
      <c r="T14" s="79">
        <f t="shared" si="3"/>
        <v>0</v>
      </c>
      <c r="U14" s="61"/>
      <c r="V14" s="77">
        <f t="shared" si="4"/>
        <v>0</v>
      </c>
      <c r="W14" s="81"/>
      <c r="X14" s="244">
        <f>ROUNDUP((J26/4),0)</f>
        <v>4</v>
      </c>
      <c r="Y14" s="82">
        <f>IF(Z14&gt;0,IF(AA14&gt;=4,X14-1,X14),X14)</f>
        <v>4</v>
      </c>
      <c r="Z14" s="83"/>
      <c r="AA14" s="99">
        <f>X14*4-J26+Z14</f>
        <v>1</v>
      </c>
      <c r="AB14" s="128">
        <f>IF(Z14&gt;0,IF(AA14&gt;=4,AA14-4,AA14),AA14)</f>
        <v>1</v>
      </c>
      <c r="AC14" s="245"/>
      <c r="AD14" s="246"/>
      <c r="AE14" s="87"/>
      <c r="AF14" s="1">
        <v>180</v>
      </c>
      <c r="AG14" s="1">
        <f t="shared" si="5"/>
        <v>720</v>
      </c>
    </row>
    <row r="15" spans="1:33" ht="24" customHeight="1" x14ac:dyDescent="0.45">
      <c r="A15" s="42" t="str">
        <f t="shared" si="1"/>
        <v>-----[하프팩]더티너티밤미니큐브</v>
      </c>
      <c r="B15" s="4" t="s">
        <v>216</v>
      </c>
      <c r="C15" s="4"/>
      <c r="D15" s="4">
        <v>11</v>
      </c>
      <c r="G15" s="68"/>
      <c r="H15" s="70" t="s">
        <v>130</v>
      </c>
      <c r="I15" s="71"/>
      <c r="J15" s="41">
        <f t="shared" si="2"/>
        <v>8</v>
      </c>
      <c r="N15" s="173">
        <v>1</v>
      </c>
      <c r="O15" s="174">
        <v>2</v>
      </c>
      <c r="P15" s="175" t="s">
        <v>85</v>
      </c>
      <c r="Q15" s="176">
        <f t="shared" ref="Q15:Q22" si="7">U15+AC15+Y15</f>
        <v>34</v>
      </c>
      <c r="R15" s="177">
        <f>J10</f>
        <v>193</v>
      </c>
      <c r="S15" s="185"/>
      <c r="T15" s="79">
        <f t="shared" si="3"/>
        <v>25</v>
      </c>
      <c r="U15" s="187">
        <f t="shared" ref="U15:U22" si="8">IF(((AA15=1)*AND(V15&gt;=4)),T15-0.5,T15+IF(AA15=1,0.5,0))</f>
        <v>24.5</v>
      </c>
      <c r="V15" s="77">
        <f t="shared" si="4"/>
        <v>7</v>
      </c>
      <c r="W15" s="178">
        <f t="shared" ref="W15:W22" si="9">IF((V15+4*AA15)&gt;=8,(V15+4*AA15)-8,(V15+4*AA15))</f>
        <v>3</v>
      </c>
      <c r="X15" s="186">
        <f>ROUNDUP(J12/2,0)</f>
        <v>3</v>
      </c>
      <c r="Y15" s="180">
        <f t="shared" ref="Y15:Y22" si="10">IF(AA15=1,X15-0.5,X15)</f>
        <v>2.5</v>
      </c>
      <c r="Z15" s="181"/>
      <c r="AA15" s="182">
        <f>X15*2-J12</f>
        <v>1</v>
      </c>
      <c r="AB15" s="183"/>
      <c r="AC15" s="180">
        <f>ROUNDUP(J11/3,0)</f>
        <v>7</v>
      </c>
      <c r="AD15" s="184">
        <f>(AC15*9-J11*3)</f>
        <v>6</v>
      </c>
      <c r="AE15" s="87"/>
      <c r="AF15" s="1">
        <v>180</v>
      </c>
      <c r="AG15" s="1">
        <f t="shared" si="5"/>
        <v>6120</v>
      </c>
    </row>
    <row r="16" spans="1:33" ht="24" customHeight="1" x14ac:dyDescent="0.45">
      <c r="A16" s="42" t="str">
        <f t="shared" si="1"/>
        <v>-----[하프팩]데솔오바미니큐브</v>
      </c>
      <c r="B16" s="4" t="s">
        <v>217</v>
      </c>
      <c r="C16" s="4"/>
      <c r="D16" s="4">
        <v>7</v>
      </c>
      <c r="G16" s="68" t="s">
        <v>7</v>
      </c>
      <c r="H16" s="69" t="s">
        <v>131</v>
      </c>
      <c r="I16" s="69"/>
      <c r="J16" s="8">
        <f t="shared" si="2"/>
        <v>293</v>
      </c>
      <c r="N16" s="59">
        <v>5</v>
      </c>
      <c r="O16" s="60">
        <v>8</v>
      </c>
      <c r="P16" s="58" t="s">
        <v>116</v>
      </c>
      <c r="Q16" s="57">
        <f t="shared" si="7"/>
        <v>60</v>
      </c>
      <c r="R16" s="47">
        <f>J39+J49</f>
        <v>396</v>
      </c>
      <c r="S16" s="56"/>
      <c r="T16" s="79">
        <f t="shared" si="3"/>
        <v>50</v>
      </c>
      <c r="U16" s="61">
        <f t="shared" si="8"/>
        <v>49.5</v>
      </c>
      <c r="V16" s="77">
        <f t="shared" si="4"/>
        <v>4</v>
      </c>
      <c r="W16" s="63">
        <f t="shared" si="9"/>
        <v>0</v>
      </c>
      <c r="X16" s="124">
        <f>ROUNDUP(J41/2,0)</f>
        <v>5</v>
      </c>
      <c r="Y16" s="62">
        <f t="shared" si="10"/>
        <v>4.5</v>
      </c>
      <c r="Z16" s="49"/>
      <c r="AA16" s="48">
        <f>X16*2-J41</f>
        <v>1</v>
      </c>
      <c r="AB16" s="50"/>
      <c r="AC16" s="62">
        <f>ROUNDUP(J40/3,0)</f>
        <v>6</v>
      </c>
      <c r="AD16" s="127">
        <f>(AC16*9-J40*3)</f>
        <v>3</v>
      </c>
      <c r="AF16" s="1">
        <v>150</v>
      </c>
      <c r="AG16" s="1">
        <f t="shared" si="5"/>
        <v>9000</v>
      </c>
    </row>
    <row r="17" spans="1:40" ht="24" customHeight="1" x14ac:dyDescent="0.45">
      <c r="A17" s="42" t="str">
        <f t="shared" si="1"/>
        <v>-----[하프팩]데치미니큐브</v>
      </c>
      <c r="B17" s="4" t="s">
        <v>218</v>
      </c>
      <c r="C17" s="4"/>
      <c r="D17" s="4">
        <v>1</v>
      </c>
      <c r="G17" s="68"/>
      <c r="H17" s="70" t="s">
        <v>132</v>
      </c>
      <c r="I17" s="71"/>
      <c r="J17" s="41">
        <f t="shared" si="2"/>
        <v>7</v>
      </c>
      <c r="N17" s="163">
        <v>5</v>
      </c>
      <c r="O17" s="164">
        <v>8</v>
      </c>
      <c r="P17" s="165" t="s">
        <v>106</v>
      </c>
      <c r="Q17" s="166">
        <f t="shared" si="7"/>
        <v>12</v>
      </c>
      <c r="R17" s="167">
        <f>J20</f>
        <v>87</v>
      </c>
      <c r="S17" s="167"/>
      <c r="T17" s="79">
        <f t="shared" si="3"/>
        <v>11</v>
      </c>
      <c r="U17" s="196">
        <f t="shared" si="8"/>
        <v>11.5</v>
      </c>
      <c r="V17" s="77">
        <f t="shared" si="4"/>
        <v>1</v>
      </c>
      <c r="W17" s="168">
        <f t="shared" si="9"/>
        <v>5</v>
      </c>
      <c r="X17" s="228">
        <f>ROUNDUP(J21/2,0)</f>
        <v>1</v>
      </c>
      <c r="Y17" s="169">
        <f t="shared" si="10"/>
        <v>0.5</v>
      </c>
      <c r="Z17" s="170"/>
      <c r="AA17" s="171">
        <f>X17*2-J21</f>
        <v>1</v>
      </c>
      <c r="AB17" s="197"/>
      <c r="AC17" s="169"/>
      <c r="AD17" s="172"/>
      <c r="AF17" s="1">
        <v>140</v>
      </c>
      <c r="AG17" s="1">
        <f t="shared" si="5"/>
        <v>1680</v>
      </c>
    </row>
    <row r="18" spans="1:40" ht="24" customHeight="1" x14ac:dyDescent="0.45">
      <c r="A18" s="42" t="str">
        <f t="shared" si="1"/>
        <v>-----[하프팩]말차오트초코칩미니큐브</v>
      </c>
      <c r="B18" s="4" t="s">
        <v>219</v>
      </c>
      <c r="C18" s="4"/>
      <c r="D18" s="4">
        <v>5</v>
      </c>
      <c r="G18" s="68" t="s">
        <v>113</v>
      </c>
      <c r="H18" s="71" t="s">
        <v>133</v>
      </c>
      <c r="I18" s="71"/>
      <c r="J18" s="41">
        <f t="shared" ref="J18" si="11">IFERROR(VLOOKUP(H18&amp;I18,$A$3:$D$101,4,0),0)</f>
        <v>219</v>
      </c>
      <c r="N18" s="59">
        <v>1</v>
      </c>
      <c r="O18" s="60">
        <v>4</v>
      </c>
      <c r="P18" s="58" t="s">
        <v>86</v>
      </c>
      <c r="Q18" s="57">
        <f t="shared" si="7"/>
        <v>30</v>
      </c>
      <c r="R18" s="47">
        <f>J18+J49</f>
        <v>222</v>
      </c>
      <c r="S18" s="47"/>
      <c r="T18" s="79">
        <f t="shared" si="3"/>
        <v>28</v>
      </c>
      <c r="U18" s="61">
        <f t="shared" si="8"/>
        <v>28</v>
      </c>
      <c r="V18" s="77">
        <f t="shared" si="4"/>
        <v>2</v>
      </c>
      <c r="W18" s="63">
        <f t="shared" si="9"/>
        <v>2</v>
      </c>
      <c r="X18" s="124">
        <f>ROUNDUP(J19/2,0)</f>
        <v>2</v>
      </c>
      <c r="Y18" s="62">
        <f t="shared" si="10"/>
        <v>2</v>
      </c>
      <c r="Z18" s="49"/>
      <c r="AA18" s="48">
        <f>X18*2-J19</f>
        <v>0</v>
      </c>
      <c r="AB18" s="50"/>
      <c r="AC18" s="62"/>
      <c r="AD18" s="127"/>
      <c r="AF18" s="1">
        <v>180</v>
      </c>
      <c r="AG18" s="1">
        <f t="shared" si="5"/>
        <v>5400</v>
      </c>
    </row>
    <row r="19" spans="1:40" ht="24" customHeight="1" x14ac:dyDescent="0.45">
      <c r="A19" s="42" t="str">
        <f t="shared" si="1"/>
        <v>-----[하프팩]바닐라피칸미니큐브</v>
      </c>
      <c r="B19" s="4" t="s">
        <v>220</v>
      </c>
      <c r="C19" s="4"/>
      <c r="D19" s="4">
        <v>8</v>
      </c>
      <c r="G19" s="68"/>
      <c r="H19" s="70" t="s">
        <v>134</v>
      </c>
      <c r="I19" s="70"/>
      <c r="J19" s="41">
        <f>IFERROR(VLOOKUP(H19&amp;I19,$A$3:$D$101,4,0),0)</f>
        <v>4</v>
      </c>
      <c r="N19" s="163">
        <v>7</v>
      </c>
      <c r="O19" s="164">
        <v>7</v>
      </c>
      <c r="P19" s="165" t="s">
        <v>183</v>
      </c>
      <c r="Q19" s="166">
        <f t="shared" si="7"/>
        <v>0</v>
      </c>
      <c r="R19" s="167">
        <f>J52</f>
        <v>0</v>
      </c>
      <c r="S19" s="167"/>
      <c r="T19" s="79">
        <f t="shared" si="3"/>
        <v>0</v>
      </c>
      <c r="U19" s="187">
        <f t="shared" si="8"/>
        <v>0</v>
      </c>
      <c r="V19" s="77">
        <f t="shared" si="4"/>
        <v>0</v>
      </c>
      <c r="W19" s="168">
        <f t="shared" si="9"/>
        <v>0</v>
      </c>
      <c r="X19" s="186">
        <f>ROUNDUP(J53/2,0)</f>
        <v>0</v>
      </c>
      <c r="Y19" s="180">
        <f t="shared" si="10"/>
        <v>0</v>
      </c>
      <c r="Z19" s="181"/>
      <c r="AA19" s="182">
        <f>X19*2-J53</f>
        <v>0</v>
      </c>
      <c r="AB19" s="183"/>
      <c r="AC19" s="180"/>
      <c r="AD19" s="184"/>
      <c r="AE19" s="87"/>
      <c r="AF19" s="1">
        <v>130</v>
      </c>
      <c r="AG19" s="1">
        <f t="shared" si="5"/>
        <v>0</v>
      </c>
    </row>
    <row r="20" spans="1:40" ht="24" customHeight="1" x14ac:dyDescent="0.45">
      <c r="A20" s="42" t="str">
        <f t="shared" si="1"/>
        <v>-----[하프팩]버터밀크비스킷미니큐브</v>
      </c>
      <c r="B20" s="4" t="s">
        <v>221</v>
      </c>
      <c r="C20" s="4"/>
      <c r="D20" s="4">
        <v>5</v>
      </c>
      <c r="G20" s="68" t="s">
        <v>114</v>
      </c>
      <c r="H20" s="69" t="s">
        <v>135</v>
      </c>
      <c r="I20" s="69"/>
      <c r="J20" s="41">
        <f t="shared" ref="J20" si="12">IFERROR(VLOOKUP(H20&amp;I20,$A$3:$D$101,4,0),0)</f>
        <v>87</v>
      </c>
      <c r="N20" s="59">
        <v>7</v>
      </c>
      <c r="O20" s="60">
        <v>8</v>
      </c>
      <c r="P20" s="58" t="s">
        <v>167</v>
      </c>
      <c r="Q20" s="57">
        <f t="shared" si="7"/>
        <v>72</v>
      </c>
      <c r="R20" s="47">
        <f>J46</f>
        <v>429</v>
      </c>
      <c r="S20" s="47"/>
      <c r="T20" s="79">
        <f t="shared" si="3"/>
        <v>54</v>
      </c>
      <c r="U20" s="61">
        <f t="shared" si="8"/>
        <v>54.5</v>
      </c>
      <c r="V20" s="77">
        <f t="shared" si="4"/>
        <v>3</v>
      </c>
      <c r="W20" s="63">
        <f t="shared" si="9"/>
        <v>7</v>
      </c>
      <c r="X20" s="124">
        <f>ROUNDUP(J48/2,0)</f>
        <v>6</v>
      </c>
      <c r="Y20" s="62">
        <f t="shared" si="10"/>
        <v>5.5</v>
      </c>
      <c r="Z20" s="49"/>
      <c r="AA20" s="48">
        <f>X20*2-J48</f>
        <v>1</v>
      </c>
      <c r="AB20" s="50"/>
      <c r="AC20" s="62">
        <f>ROUNDUP(J47/3,0)</f>
        <v>12</v>
      </c>
      <c r="AD20" s="127">
        <f>(AC20*9-J47*3)</f>
        <v>6</v>
      </c>
      <c r="AE20" s="87"/>
      <c r="AF20" s="1">
        <v>110</v>
      </c>
      <c r="AG20" s="1">
        <f t="shared" si="5"/>
        <v>7920</v>
      </c>
    </row>
    <row r="21" spans="1:40" ht="24" customHeight="1" x14ac:dyDescent="0.45">
      <c r="A21" s="42" t="str">
        <f t="shared" si="1"/>
        <v>-----[하프팩]베리초코칩미니큐브</v>
      </c>
      <c r="B21" s="4" t="s">
        <v>222</v>
      </c>
      <c r="C21" s="4"/>
      <c r="D21" s="4">
        <v>6</v>
      </c>
      <c r="G21" s="68"/>
      <c r="H21" s="70" t="s">
        <v>136</v>
      </c>
      <c r="I21" s="71"/>
      <c r="J21" s="41">
        <f t="shared" ref="J21:J26" si="13">IFERROR(VLOOKUP(H21&amp;I21,$A$3:$D$101,4,0),0)</f>
        <v>1</v>
      </c>
      <c r="N21" s="173">
        <v>7</v>
      </c>
      <c r="O21" s="174">
        <v>8</v>
      </c>
      <c r="P21" s="175" t="s">
        <v>174</v>
      </c>
      <c r="Q21" s="176">
        <f t="shared" si="7"/>
        <v>17</v>
      </c>
      <c r="R21" s="177">
        <f>J50</f>
        <v>109</v>
      </c>
      <c r="S21" s="177"/>
      <c r="T21" s="79">
        <f t="shared" si="3"/>
        <v>14</v>
      </c>
      <c r="U21" s="187">
        <f t="shared" si="8"/>
        <v>14.5</v>
      </c>
      <c r="V21" s="77">
        <f t="shared" si="4"/>
        <v>3</v>
      </c>
      <c r="W21" s="178">
        <f t="shared" si="9"/>
        <v>7</v>
      </c>
      <c r="X21" s="179">
        <f>ROUNDUP(J51/2,0)</f>
        <v>3</v>
      </c>
      <c r="Y21" s="180">
        <f t="shared" si="10"/>
        <v>2.5</v>
      </c>
      <c r="Z21" s="181"/>
      <c r="AA21" s="182">
        <f>X21*2-J51</f>
        <v>1</v>
      </c>
      <c r="AB21" s="183"/>
      <c r="AC21" s="180"/>
      <c r="AD21" s="184"/>
      <c r="AE21" s="87"/>
      <c r="AF21" s="1">
        <v>125</v>
      </c>
      <c r="AG21" s="1">
        <f t="shared" si="5"/>
        <v>2125</v>
      </c>
    </row>
    <row r="22" spans="1:40" ht="24" customHeight="1" x14ac:dyDescent="0.45">
      <c r="A22" s="42" t="str">
        <f t="shared" si="1"/>
        <v>-----[하프팩]순수오트미니큐브</v>
      </c>
      <c r="B22" s="4" t="s">
        <v>223</v>
      </c>
      <c r="C22" s="4"/>
      <c r="D22" s="4">
        <v>1</v>
      </c>
      <c r="G22" s="68" t="s">
        <v>115</v>
      </c>
      <c r="H22" s="73" t="s">
        <v>137</v>
      </c>
      <c r="I22" s="70"/>
      <c r="J22" s="41">
        <f t="shared" si="13"/>
        <v>137</v>
      </c>
      <c r="N22" s="75">
        <v>7</v>
      </c>
      <c r="O22" s="119">
        <v>8</v>
      </c>
      <c r="P22" s="120" t="s">
        <v>108</v>
      </c>
      <c r="Q22" s="76">
        <f t="shared" si="7"/>
        <v>21</v>
      </c>
      <c r="R22" s="77">
        <f>J22</f>
        <v>137</v>
      </c>
      <c r="S22" s="77"/>
      <c r="T22" s="79">
        <f t="shared" si="3"/>
        <v>18</v>
      </c>
      <c r="U22" s="61">
        <f t="shared" si="8"/>
        <v>18</v>
      </c>
      <c r="V22" s="77">
        <f t="shared" si="4"/>
        <v>7</v>
      </c>
      <c r="W22" s="81">
        <f t="shared" si="9"/>
        <v>7</v>
      </c>
      <c r="X22" s="160">
        <f>ROUNDUP(J23/2,0)</f>
        <v>3</v>
      </c>
      <c r="Y22" s="82">
        <f t="shared" si="10"/>
        <v>3</v>
      </c>
      <c r="Z22" s="83"/>
      <c r="AA22" s="99">
        <f>X22*2-J23</f>
        <v>0</v>
      </c>
      <c r="AB22" s="100"/>
      <c r="AC22" s="82"/>
      <c r="AD22" s="128"/>
      <c r="AE22" s="87"/>
      <c r="AF22" s="1">
        <v>140</v>
      </c>
      <c r="AG22" s="1">
        <f t="shared" si="5"/>
        <v>2940</v>
      </c>
    </row>
    <row r="23" spans="1:40" ht="24" customHeight="1" x14ac:dyDescent="0.45">
      <c r="A23" s="42" t="str">
        <f t="shared" si="1"/>
        <v>-----[하프팩]카카오미니큐브</v>
      </c>
      <c r="B23" s="4" t="s">
        <v>224</v>
      </c>
      <c r="C23" s="4"/>
      <c r="D23" s="4">
        <v>5</v>
      </c>
      <c r="G23" s="68"/>
      <c r="H23" s="70" t="s">
        <v>138</v>
      </c>
      <c r="I23" s="71"/>
      <c r="J23" s="41">
        <f t="shared" si="13"/>
        <v>6</v>
      </c>
      <c r="N23" s="229"/>
      <c r="O23" s="230"/>
      <c r="P23" s="231"/>
      <c r="Q23" s="232"/>
      <c r="R23" s="233"/>
      <c r="S23" s="234"/>
      <c r="T23" s="202"/>
      <c r="U23" s="235"/>
      <c r="V23" s="233"/>
      <c r="W23" s="236"/>
      <c r="X23" s="237"/>
      <c r="Y23" s="238"/>
      <c r="Z23" s="239"/>
      <c r="AA23" s="240"/>
      <c r="AB23" s="241"/>
      <c r="AC23" s="238"/>
      <c r="AD23" s="242"/>
      <c r="AE23" s="87"/>
    </row>
    <row r="24" spans="1:40" ht="24" customHeight="1" thickBot="1" x14ac:dyDescent="0.5">
      <c r="A24" s="42" t="str">
        <f t="shared" si="1"/>
        <v>-----[하프팩]통밀츄러미니큐브</v>
      </c>
      <c r="B24" s="4" t="s">
        <v>225</v>
      </c>
      <c r="C24" s="4"/>
      <c r="D24" s="4">
        <v>4</v>
      </c>
      <c r="G24" s="68" t="s">
        <v>112</v>
      </c>
      <c r="H24" s="69" t="s">
        <v>139</v>
      </c>
      <c r="I24" s="69"/>
      <c r="J24" s="8">
        <f t="shared" si="13"/>
        <v>252</v>
      </c>
      <c r="N24" s="210"/>
      <c r="O24" s="211"/>
      <c r="P24" s="212" t="s">
        <v>27</v>
      </c>
      <c r="Q24" s="213" t="str">
        <f>"총 " &amp; SUM(Q4:Q23) &amp; "판"</f>
        <v>총 469판</v>
      </c>
      <c r="R24" s="191"/>
      <c r="S24" s="191"/>
      <c r="T24" s="193">
        <f>SUM(T4:T23)</f>
        <v>380</v>
      </c>
      <c r="U24" s="194">
        <f>SUM(U4:U23)</f>
        <v>380</v>
      </c>
      <c r="V24" s="191"/>
      <c r="W24" s="195">
        <f>SUM(W4:W23)</f>
        <v>54</v>
      </c>
      <c r="X24" s="214">
        <f>SUM(X4:X23)</f>
        <v>43</v>
      </c>
      <c r="Y24" s="194">
        <f>SUM(Y4:Y23)</f>
        <v>39</v>
      </c>
      <c r="Z24" s="215"/>
      <c r="AA24" s="192"/>
      <c r="AB24" s="198"/>
      <c r="AC24" s="194">
        <f>SUM(AC4:AC23)</f>
        <v>50</v>
      </c>
      <c r="AD24" s="216">
        <f>SUM(AD4:AD23)</f>
        <v>24</v>
      </c>
      <c r="AE24" s="87"/>
    </row>
    <row r="25" spans="1:40" ht="24" customHeight="1" thickBot="1" x14ac:dyDescent="0.5">
      <c r="A25" s="42" t="str">
        <f t="shared" si="1"/>
        <v>----[세트]OXO스틱 3팩</v>
      </c>
      <c r="B25" s="4" t="s">
        <v>226</v>
      </c>
      <c r="C25" s="4"/>
      <c r="D25" s="4">
        <v>17</v>
      </c>
      <c r="G25" s="68"/>
      <c r="H25" s="70" t="s">
        <v>140</v>
      </c>
      <c r="I25" s="71"/>
      <c r="J25" s="41">
        <f t="shared" si="13"/>
        <v>5</v>
      </c>
      <c r="N25" s="97"/>
      <c r="O25" s="200"/>
      <c r="P25" s="121"/>
      <c r="Q25" s="122"/>
      <c r="R25" s="201"/>
      <c r="S25" s="201"/>
      <c r="T25" s="202"/>
      <c r="U25" s="203"/>
      <c r="V25" s="201"/>
      <c r="W25" s="201"/>
      <c r="X25" s="202"/>
      <c r="Y25" s="203"/>
      <c r="Z25" s="202"/>
      <c r="AA25" s="201"/>
      <c r="AB25" s="201"/>
      <c r="AC25" s="203"/>
      <c r="AD25" s="204"/>
      <c r="AE25" s="87"/>
    </row>
    <row r="26" spans="1:40" ht="24" customHeight="1" x14ac:dyDescent="0.3">
      <c r="A26" s="42" t="str">
        <f t="shared" si="1"/>
        <v>----[세트]더티너티밤스틱 3팩</v>
      </c>
      <c r="B26" s="4" t="s">
        <v>227</v>
      </c>
      <c r="C26" s="4"/>
      <c r="D26" s="4">
        <v>34</v>
      </c>
      <c r="G26" s="68"/>
      <c r="H26" s="70" t="s">
        <v>159</v>
      </c>
      <c r="I26" s="73"/>
      <c r="J26" s="41">
        <f t="shared" si="13"/>
        <v>15</v>
      </c>
      <c r="N26" s="117"/>
      <c r="O26" s="287" t="s">
        <v>20</v>
      </c>
      <c r="P26" s="288"/>
      <c r="Q26" s="125" t="s">
        <v>186</v>
      </c>
      <c r="R26" s="125"/>
      <c r="S26" s="141" t="s">
        <v>23</v>
      </c>
      <c r="T26" s="141" t="s">
        <v>178</v>
      </c>
      <c r="U26" s="141" t="s">
        <v>176</v>
      </c>
      <c r="V26" s="141" t="s">
        <v>177</v>
      </c>
      <c r="W26" s="141"/>
      <c r="X26" s="141"/>
      <c r="Y26" s="141" t="s">
        <v>182</v>
      </c>
      <c r="Z26" s="188"/>
      <c r="AA26" s="123"/>
      <c r="AB26" s="190"/>
      <c r="AC26" s="205"/>
      <c r="AD26" s="206"/>
    </row>
    <row r="27" spans="1:40" ht="24" customHeight="1" x14ac:dyDescent="0.3">
      <c r="A27" s="42" t="str">
        <f t="shared" si="1"/>
        <v>----[세트]데치스틱 3팩</v>
      </c>
      <c r="B27" s="4" t="s">
        <v>228</v>
      </c>
      <c r="C27" s="4"/>
      <c r="D27" s="4">
        <v>18</v>
      </c>
      <c r="G27" s="68"/>
      <c r="H27" s="71" t="s">
        <v>141</v>
      </c>
      <c r="I27" s="71"/>
      <c r="J27" s="8">
        <f t="shared" ref="J27" si="14">IFERROR(VLOOKUP(H27&amp;I27,$A$3:$D$101,4,0),0)</f>
        <v>2</v>
      </c>
      <c r="N27" s="117"/>
      <c r="O27" s="281">
        <f>ROUNDUP(SUM(AG4:AG26)/1000,0)</f>
        <v>72</v>
      </c>
      <c r="P27" s="282"/>
      <c r="Q27" s="129"/>
      <c r="R27" s="162"/>
      <c r="S27" s="144">
        <f>J36</f>
        <v>0</v>
      </c>
      <c r="T27" s="144">
        <f>J33</f>
        <v>0</v>
      </c>
      <c r="U27" s="144">
        <f>J32</f>
        <v>0</v>
      </c>
      <c r="V27" s="144">
        <f>J34</f>
        <v>7</v>
      </c>
      <c r="W27" s="144"/>
      <c r="X27" s="144"/>
      <c r="Y27" s="144">
        <f>J35</f>
        <v>0</v>
      </c>
      <c r="Z27" s="129"/>
      <c r="AA27" s="207"/>
      <c r="AB27" s="247"/>
      <c r="AC27" s="205"/>
      <c r="AD27" s="206"/>
    </row>
    <row r="28" spans="1:40" ht="24" customHeight="1" x14ac:dyDescent="0.3">
      <c r="A28" s="42" t="str">
        <f t="shared" si="1"/>
        <v>----[세트]바닐라피칸스틱 3팩</v>
      </c>
      <c r="B28" s="4" t="s">
        <v>229</v>
      </c>
      <c r="C28" s="4"/>
      <c r="D28" s="4">
        <v>28</v>
      </c>
      <c r="G28" s="68"/>
      <c r="H28" s="74" t="s">
        <v>142</v>
      </c>
      <c r="I28" s="71" t="s">
        <v>156</v>
      </c>
      <c r="J28" s="8">
        <f t="shared" ref="J28:J31" si="15">IFERROR(VLOOKUP(H28&amp;I28,$A$3:$D$101,4,0),0)</f>
        <v>0</v>
      </c>
      <c r="N28" s="117"/>
      <c r="O28" s="115" t="s">
        <v>110</v>
      </c>
      <c r="P28" s="116" t="s">
        <v>193</v>
      </c>
      <c r="Q28" s="142" t="s">
        <v>90</v>
      </c>
      <c r="R28" s="142" t="s">
        <v>91</v>
      </c>
      <c r="S28" s="142" t="s">
        <v>101</v>
      </c>
      <c r="T28" s="142" t="s">
        <v>37</v>
      </c>
      <c r="U28" s="142" t="s">
        <v>170</v>
      </c>
      <c r="V28" s="142" t="s">
        <v>180</v>
      </c>
      <c r="W28" s="142"/>
      <c r="X28" s="142"/>
      <c r="Y28" s="143" t="s">
        <v>181</v>
      </c>
      <c r="Z28" s="189"/>
      <c r="AB28" s="114"/>
      <c r="AC28" s="112"/>
      <c r="AD28" s="208"/>
    </row>
    <row r="29" spans="1:40" ht="24" customHeight="1" thickBot="1" x14ac:dyDescent="0.35">
      <c r="A29" s="42" t="str">
        <f t="shared" si="1"/>
        <v>----[세트]버터밀크비스킷스틱 3팩</v>
      </c>
      <c r="B29" s="4" t="s">
        <v>230</v>
      </c>
      <c r="C29" s="4"/>
      <c r="D29" s="4">
        <v>16</v>
      </c>
      <c r="G29" s="68"/>
      <c r="H29" s="74" t="s">
        <v>142</v>
      </c>
      <c r="I29" s="71" t="s">
        <v>157</v>
      </c>
      <c r="J29" s="8">
        <f t="shared" si="15"/>
        <v>2</v>
      </c>
      <c r="N29" s="118"/>
      <c r="O29" s="146">
        <f>J45</f>
        <v>110</v>
      </c>
      <c r="P29" s="145">
        <f>W24+AD24</f>
        <v>78</v>
      </c>
      <c r="Q29" s="145">
        <f>IF(O29-P29&gt;=0,O29-P29,"없음")</f>
        <v>32</v>
      </c>
      <c r="R29" s="145" t="str">
        <f>IF(O29-P29&lt;0,-(O29-P29),"없음")</f>
        <v>없음</v>
      </c>
      <c r="S29" s="145">
        <f>J37</f>
        <v>0</v>
      </c>
      <c r="T29" s="145">
        <f>J38</f>
        <v>0</v>
      </c>
      <c r="U29" s="145">
        <f>J49</f>
        <v>3</v>
      </c>
      <c r="V29" s="145">
        <f>J26</f>
        <v>15</v>
      </c>
      <c r="W29" s="145"/>
      <c r="X29" s="145"/>
      <c r="Y29" s="145">
        <f>J25+J49</f>
        <v>8</v>
      </c>
      <c r="Z29" s="209"/>
      <c r="AA29" s="98"/>
      <c r="AB29" s="111"/>
      <c r="AC29" s="113"/>
      <c r="AD29" s="199"/>
      <c r="AE29" s="96"/>
      <c r="AF29" s="96"/>
    </row>
    <row r="30" spans="1:40" ht="24" customHeight="1" x14ac:dyDescent="0.3">
      <c r="A30" s="42" t="str">
        <f t="shared" si="1"/>
        <v>----[세트]카카오스틱 3팩</v>
      </c>
      <c r="B30" s="4" t="s">
        <v>231</v>
      </c>
      <c r="C30" s="4"/>
      <c r="D30" s="4">
        <v>19</v>
      </c>
      <c r="G30" s="68"/>
      <c r="H30" s="74" t="s">
        <v>143</v>
      </c>
      <c r="I30" s="4" t="s">
        <v>154</v>
      </c>
      <c r="J30" s="8">
        <f t="shared" si="15"/>
        <v>1</v>
      </c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spans="1:40" ht="24" customHeight="1" thickBot="1" x14ac:dyDescent="0.35">
      <c r="A31" s="42" t="str">
        <f t="shared" si="1"/>
        <v>----[세트]통밀츄러스틱 3팩</v>
      </c>
      <c r="B31" s="4" t="s">
        <v>232</v>
      </c>
      <c r="C31" s="4"/>
      <c r="D31" s="4">
        <v>8</v>
      </c>
      <c r="G31" s="68"/>
      <c r="H31" s="74" t="s">
        <v>143</v>
      </c>
      <c r="I31" s="71" t="s">
        <v>158</v>
      </c>
      <c r="J31" s="8">
        <f t="shared" si="15"/>
        <v>0</v>
      </c>
      <c r="AG31" s="130"/>
    </row>
    <row r="32" spans="1:40" ht="31.5" customHeight="1" x14ac:dyDescent="0.3">
      <c r="A32" s="42" t="str">
        <f t="shared" si="1"/>
        <v>---단호박스콘</v>
      </c>
      <c r="B32" s="4" t="s">
        <v>233</v>
      </c>
      <c r="C32" s="4"/>
      <c r="D32" s="4">
        <v>238</v>
      </c>
      <c r="G32" s="68"/>
      <c r="H32" s="70" t="s">
        <v>144</v>
      </c>
      <c r="I32" s="70"/>
      <c r="J32" s="8">
        <f t="shared" ref="J32:J36" si="16">IFERROR(VLOOKUP(H32&amp;I32,$A$3:$D$101,4,0),0)</f>
        <v>0</v>
      </c>
      <c r="AG32" s="130"/>
      <c r="AH32" s="260" t="s">
        <v>94</v>
      </c>
      <c r="AI32" s="261" t="s">
        <v>93</v>
      </c>
      <c r="AJ32" s="262" t="s">
        <v>97</v>
      </c>
      <c r="AK32" s="261" t="s">
        <v>95</v>
      </c>
      <c r="AL32" s="263" t="s">
        <v>171</v>
      </c>
      <c r="AM32" s="261" t="s">
        <v>96</v>
      </c>
      <c r="AN32" s="264" t="s">
        <v>96</v>
      </c>
    </row>
    <row r="33" spans="1:40" ht="31.5" customHeight="1" x14ac:dyDescent="0.55000000000000004">
      <c r="A33" s="42" t="str">
        <f t="shared" si="1"/>
        <v>---쑥스콘</v>
      </c>
      <c r="B33" s="4" t="s">
        <v>234</v>
      </c>
      <c r="C33" s="4"/>
      <c r="D33" s="4">
        <v>140</v>
      </c>
      <c r="G33" s="68"/>
      <c r="H33" s="69" t="s">
        <v>145</v>
      </c>
      <c r="I33" s="69"/>
      <c r="J33" s="8">
        <f t="shared" si="16"/>
        <v>0</v>
      </c>
      <c r="AE33" s="43"/>
      <c r="AF33" s="43"/>
      <c r="AG33" s="130"/>
      <c r="AH33" s="153" t="s">
        <v>100</v>
      </c>
      <c r="AI33" s="154">
        <f>_xlfn.XLOOKUP(AH33,$P$4:$P$23,$N$4:$N$23,"N/A",0)</f>
        <v>1</v>
      </c>
      <c r="AJ33" s="154">
        <f>_xlfn.XLOOKUP(AH33,$P$4:$P$23,$U$4:$U$23,"NA",0)</f>
        <v>32</v>
      </c>
      <c r="AK33" s="154">
        <f t="shared" ref="AK33:AK48" si="17">ROUNDDOWN(AJ33/3,0)</f>
        <v>10</v>
      </c>
      <c r="AL33" s="154">
        <f t="shared" ref="AL33" si="18">IF(AK33&gt;0,IF((AM33&gt;0)*AND((AK33)&gt;1),AK33-1,AK33),AK33)</f>
        <v>9</v>
      </c>
      <c r="AM33" s="154">
        <f t="shared" ref="AM33:AM48" si="19">AJ33-(3*AK33)</f>
        <v>2</v>
      </c>
      <c r="AN33" s="155">
        <f t="shared" ref="AN33" si="20">3*(AK33-AL33)+AM33</f>
        <v>5</v>
      </c>
    </row>
    <row r="34" spans="1:40" ht="31.5" customHeight="1" x14ac:dyDescent="0.55000000000000004">
      <c r="A34" s="42" t="str">
        <f t="shared" si="1"/>
        <v>---쑥인절미꿀호떡스콘</v>
      </c>
      <c r="B34" s="4" t="s">
        <v>235</v>
      </c>
      <c r="C34" s="4"/>
      <c r="D34" s="4">
        <v>129</v>
      </c>
      <c r="G34" s="68"/>
      <c r="H34" s="71" t="s">
        <v>160</v>
      </c>
      <c r="I34" s="71" t="s">
        <v>152</v>
      </c>
      <c r="J34" s="41">
        <f t="shared" si="16"/>
        <v>7</v>
      </c>
      <c r="AG34" s="130"/>
      <c r="AH34" s="265" t="s">
        <v>5</v>
      </c>
      <c r="AI34" s="217">
        <f>_xlfn.XLOOKUP(AH34,$P$4:$P$23,$N$4:$N$23,"N/A",0)</f>
        <v>2</v>
      </c>
      <c r="AJ34" s="217">
        <f>_xlfn.XLOOKUP(AH34,$P$4:$P$23,$U$4:$U$23,"NA",0)</f>
        <v>32</v>
      </c>
      <c r="AK34" s="217">
        <f t="shared" ref="AK34" si="21">ROUNDDOWN(AJ34/3,0)</f>
        <v>10</v>
      </c>
      <c r="AL34" s="217">
        <f t="shared" ref="AL34" si="22">IF(AK34&gt;0,IF((AM34&gt;0)*AND((AK34)&gt;1),AK34-1,AK34),AK34)</f>
        <v>9</v>
      </c>
      <c r="AM34" s="217">
        <f t="shared" ref="AM34" si="23">AJ34-(3*AK34)</f>
        <v>2</v>
      </c>
      <c r="AN34" s="266">
        <f t="shared" ref="AN34" si="24">3*(AK34-AL34)+AM34</f>
        <v>5</v>
      </c>
    </row>
    <row r="35" spans="1:40" ht="31.5" customHeight="1" x14ac:dyDescent="0.55000000000000004">
      <c r="A35" s="42" t="str">
        <f t="shared" si="1"/>
        <v>---흑미밤설기바스콘</v>
      </c>
      <c r="B35" s="4" t="s">
        <v>236</v>
      </c>
      <c r="C35" s="4"/>
      <c r="D35" s="4">
        <v>103</v>
      </c>
      <c r="G35" s="68"/>
      <c r="H35" s="71" t="s">
        <v>160</v>
      </c>
      <c r="I35" s="71" t="s">
        <v>153</v>
      </c>
      <c r="J35" s="41">
        <f t="shared" si="16"/>
        <v>0</v>
      </c>
      <c r="AG35" s="130"/>
      <c r="AH35" s="153" t="s">
        <v>98</v>
      </c>
      <c r="AI35" s="154">
        <f>_xlfn.XLOOKUP(AH35,$P$4:$P$23,$N$4:$N$23,"N/A",0)</f>
        <v>11</v>
      </c>
      <c r="AJ35" s="154">
        <f>_xlfn.XLOOKUP(AH35,$P$4:$P$23,$U$4:$U$23,"NA",0)</f>
        <v>13.5</v>
      </c>
      <c r="AK35" s="154">
        <f t="shared" ref="AK35" si="25">ROUNDDOWN(AJ35/3,0)</f>
        <v>4</v>
      </c>
      <c r="AL35" s="154">
        <f t="shared" ref="AL35" si="26">IF(AK35&gt;0,IF((AM35&gt;0)*AND((AK35)&gt;1),AK35-1,AK35),AK35)</f>
        <v>3</v>
      </c>
      <c r="AM35" s="154">
        <f t="shared" ref="AM35" si="27">AJ35-(3*AK35)</f>
        <v>1.5</v>
      </c>
      <c r="AN35" s="155">
        <f t="shared" ref="AN35" si="28">3*(AK35-AL35)+AM35</f>
        <v>4.5</v>
      </c>
    </row>
    <row r="36" spans="1:40" ht="31.5" x14ac:dyDescent="0.55000000000000004">
      <c r="A36" s="42" t="str">
        <f t="shared" si="1"/>
        <v>---흑임자라떼스콘</v>
      </c>
      <c r="B36" s="4" t="s">
        <v>237</v>
      </c>
      <c r="C36" s="4"/>
      <c r="D36" s="4">
        <v>100</v>
      </c>
      <c r="G36" s="68"/>
      <c r="H36" s="69" t="s">
        <v>203</v>
      </c>
      <c r="I36" s="69" t="s">
        <v>155</v>
      </c>
      <c r="J36" s="8">
        <f t="shared" si="16"/>
        <v>0</v>
      </c>
      <c r="AG36" s="130"/>
      <c r="AH36" s="265" t="s">
        <v>87</v>
      </c>
      <c r="AI36" s="217">
        <f>_xlfn.XLOOKUP(AH36,$P$4:$P$23,$N$4:$N$23,"N/A",0)</f>
        <v>4</v>
      </c>
      <c r="AJ36" s="217">
        <f>_xlfn.XLOOKUP(AH36,$P$4:$P$23,$U$4:$U$23,"NA",0)</f>
        <v>45</v>
      </c>
      <c r="AK36" s="217">
        <f t="shared" ref="AK36" si="29">ROUNDDOWN(AJ36/3,0)</f>
        <v>15</v>
      </c>
      <c r="AL36" s="217">
        <f t="shared" ref="AL36" si="30">IF(AK36&gt;0,IF((AM36&gt;0)*AND((AK36)&gt;1),AK36-1,AK36),AK36)</f>
        <v>15</v>
      </c>
      <c r="AM36" s="217">
        <f t="shared" ref="AM36" si="31">AJ36-(3*AK36)</f>
        <v>0</v>
      </c>
      <c r="AN36" s="266">
        <f t="shared" ref="AN36" si="32">3*(AK36-AL36)+AM36</f>
        <v>0</v>
      </c>
    </row>
    <row r="37" spans="1:40" ht="32.25" thickBot="1" x14ac:dyDescent="0.6">
      <c r="A37" s="42" t="str">
        <f t="shared" si="1"/>
        <v>-OXO스콘</v>
      </c>
      <c r="B37" s="4" t="s">
        <v>238</v>
      </c>
      <c r="C37" s="4"/>
      <c r="D37" s="4">
        <v>393</v>
      </c>
      <c r="G37" s="68"/>
      <c r="H37" s="69" t="s">
        <v>163</v>
      </c>
      <c r="I37" s="69"/>
      <c r="J37" s="41">
        <f t="shared" ref="J37" si="33">IFERROR(VLOOKUP(H37&amp;I37,$A$3:$D$101,4,0),0)</f>
        <v>0</v>
      </c>
      <c r="AG37" s="131"/>
      <c r="AH37" s="153" t="s">
        <v>118</v>
      </c>
      <c r="AI37" s="154">
        <f>_xlfn.XLOOKUP(AH37,$P$4:$P$23,$N$4:$N$23,"N/A",0)</f>
        <v>7</v>
      </c>
      <c r="AJ37" s="154">
        <f>_xlfn.XLOOKUP(AH37,$P$4:$P$23,$U$4:$U$23,"NA",0)</f>
        <v>19.5</v>
      </c>
      <c r="AK37" s="154">
        <f>ROUNDDOWN(AJ37/3,0)</f>
        <v>6</v>
      </c>
      <c r="AL37" s="154">
        <f>IF(AK37&gt;0,IF((AM37&gt;0)*AND((AK37)&gt;1),AK37-1,AK37),AK37)</f>
        <v>5</v>
      </c>
      <c r="AM37" s="154">
        <f>AJ37-(3*AK37)</f>
        <v>1.5</v>
      </c>
      <c r="AN37" s="155">
        <f>3*(AK37-AL37)+AM37</f>
        <v>4.5</v>
      </c>
    </row>
    <row r="38" spans="1:40" ht="31.5" x14ac:dyDescent="0.55000000000000004">
      <c r="A38" s="42" t="str">
        <f t="shared" si="1"/>
        <v>-귀리초코칩스콘</v>
      </c>
      <c r="B38" s="4" t="s">
        <v>239</v>
      </c>
      <c r="C38" s="4"/>
      <c r="D38" s="4">
        <v>219</v>
      </c>
      <c r="G38" s="68"/>
      <c r="H38" s="71" t="s">
        <v>161</v>
      </c>
      <c r="I38" s="71"/>
      <c r="J38" s="8">
        <f t="shared" ref="J38:J41" si="34">IFERROR(VLOOKUP(H38&amp;I38,$A$3:$D$101,4,0),0)</f>
        <v>0</v>
      </c>
      <c r="AG38" s="161"/>
      <c r="AH38" s="147"/>
      <c r="AI38" s="148"/>
      <c r="AJ38" s="148"/>
      <c r="AK38" s="148"/>
      <c r="AL38" s="148"/>
      <c r="AM38" s="148"/>
      <c r="AN38" s="149"/>
    </row>
    <row r="39" spans="1:40" ht="32.25" thickBot="1" x14ac:dyDescent="0.6">
      <c r="A39" s="42" t="str">
        <f t="shared" si="1"/>
        <v>-더티너티밤스콘</v>
      </c>
      <c r="B39" s="4" t="s">
        <v>240</v>
      </c>
      <c r="C39" s="4"/>
      <c r="D39" s="4">
        <v>429</v>
      </c>
      <c r="G39" s="68" t="s">
        <v>188</v>
      </c>
      <c r="H39" s="69" t="s">
        <v>146</v>
      </c>
      <c r="I39" s="69"/>
      <c r="J39" s="41">
        <f t="shared" si="34"/>
        <v>393</v>
      </c>
      <c r="AG39" s="130"/>
      <c r="AH39" s="150"/>
      <c r="AI39" s="151"/>
      <c r="AJ39" s="151"/>
      <c r="AK39" s="151"/>
      <c r="AL39" s="151"/>
      <c r="AM39" s="151"/>
      <c r="AN39" s="152"/>
    </row>
    <row r="40" spans="1:40" ht="31.5" x14ac:dyDescent="0.55000000000000004">
      <c r="A40" s="42" t="str">
        <f t="shared" si="1"/>
        <v>-데솔오트밀바</v>
      </c>
      <c r="B40" s="4" t="s">
        <v>241</v>
      </c>
      <c r="C40" s="4"/>
      <c r="D40" s="4">
        <v>293</v>
      </c>
      <c r="G40" s="68"/>
      <c r="H40" s="69" t="s">
        <v>148</v>
      </c>
      <c r="I40" s="69"/>
      <c r="J40" s="41">
        <f t="shared" si="34"/>
        <v>17</v>
      </c>
      <c r="AG40" s="131"/>
      <c r="AH40" s="156" t="s">
        <v>99</v>
      </c>
      <c r="AI40" s="157">
        <f t="shared" ref="AI40:AI48" si="35">_xlfn.XLOOKUP(AH40,$P$4:$P$23,$N$4:$N$23,"N/A",0)</f>
        <v>1</v>
      </c>
      <c r="AJ40" s="154">
        <f t="shared" ref="AJ40:AJ48" si="36">_xlfn.XLOOKUP(AH40,$P$4:$P$23,$U$4:$U$23,"NA",0)</f>
        <v>37.5</v>
      </c>
      <c r="AK40" s="154">
        <f>ROUNDDOWN(AJ40/3,0)</f>
        <v>12</v>
      </c>
      <c r="AL40" s="158">
        <f t="shared" ref="AL40:AL41" si="37">IF(AK40&gt;0,IF((AM40&gt;0)*AND((AK40)&gt;1),AK40-1,AK40),AK40)</f>
        <v>11</v>
      </c>
      <c r="AM40" s="154">
        <f>AJ40-(3*AK40)</f>
        <v>1.5</v>
      </c>
      <c r="AN40" s="159">
        <f>3*(AK40-AL40)+AM40</f>
        <v>4.5</v>
      </c>
    </row>
    <row r="41" spans="1:40" ht="31.5" x14ac:dyDescent="0.55000000000000004">
      <c r="A41" s="42" t="str">
        <f t="shared" si="1"/>
        <v>-데이츠치아씨드스콘</v>
      </c>
      <c r="B41" s="4" t="s">
        <v>242</v>
      </c>
      <c r="C41" s="4"/>
      <c r="D41" s="4">
        <v>106</v>
      </c>
      <c r="G41" s="68"/>
      <c r="H41" s="70" t="s">
        <v>147</v>
      </c>
      <c r="I41" s="71"/>
      <c r="J41" s="41">
        <f t="shared" si="34"/>
        <v>9</v>
      </c>
      <c r="AG41" s="131"/>
      <c r="AH41" s="218" t="s">
        <v>85</v>
      </c>
      <c r="AI41" s="217">
        <f t="shared" si="35"/>
        <v>1</v>
      </c>
      <c r="AJ41" s="217">
        <f t="shared" si="36"/>
        <v>24.5</v>
      </c>
      <c r="AK41" s="217">
        <f t="shared" ref="AK41" si="38">ROUNDDOWN(AJ41/3,0)</f>
        <v>8</v>
      </c>
      <c r="AL41" s="219">
        <f t="shared" si="37"/>
        <v>7</v>
      </c>
      <c r="AM41" s="217">
        <f t="shared" ref="AM41" si="39">AJ41-(3*AK41)</f>
        <v>0.5</v>
      </c>
      <c r="AN41" s="220">
        <f t="shared" ref="AN41" si="40">3*(AK41-AL41)+AM41</f>
        <v>3.5</v>
      </c>
    </row>
    <row r="42" spans="1:40" ht="31.5" x14ac:dyDescent="0.55000000000000004">
      <c r="A42" s="42" t="str">
        <f t="shared" si="1"/>
        <v>-말차오트초코칩스콘</v>
      </c>
      <c r="B42" s="4" t="s">
        <v>243</v>
      </c>
      <c r="C42" s="4"/>
      <c r="D42" s="4">
        <v>109</v>
      </c>
      <c r="G42" s="68" t="s">
        <v>189</v>
      </c>
      <c r="H42" s="69" t="s">
        <v>149</v>
      </c>
      <c r="I42" s="69"/>
      <c r="J42" s="41">
        <f t="shared" ref="J42" si="41">IFERROR(VLOOKUP(H42&amp;I42,$A$3:$D$101,4,0),0)</f>
        <v>155</v>
      </c>
      <c r="AG42" s="131"/>
      <c r="AH42" s="156" t="s">
        <v>116</v>
      </c>
      <c r="AI42" s="154">
        <f t="shared" si="35"/>
        <v>5</v>
      </c>
      <c r="AJ42" s="154">
        <f t="shared" si="36"/>
        <v>49.5</v>
      </c>
      <c r="AK42" s="154">
        <f t="shared" si="17"/>
        <v>16</v>
      </c>
      <c r="AL42" s="158">
        <f t="shared" ref="AL42" si="42">IF(AK42&gt;0,IF((AM42&gt;0)*AND((AK42)&gt;1),AK42-1,AK42),AK42)</f>
        <v>15</v>
      </c>
      <c r="AM42" s="154">
        <f t="shared" si="19"/>
        <v>1.5</v>
      </c>
      <c r="AN42" s="159">
        <f t="shared" ref="AN42:AN48" si="43">3*(AK42-AL42)+AM42</f>
        <v>4.5</v>
      </c>
    </row>
    <row r="43" spans="1:40" ht="31.5" x14ac:dyDescent="0.55000000000000004">
      <c r="A43" s="42" t="str">
        <f t="shared" si="1"/>
        <v>-말차초코칩스콘</v>
      </c>
      <c r="B43" s="4" t="s">
        <v>244</v>
      </c>
      <c r="C43" s="4"/>
      <c r="D43" s="4">
        <v>252</v>
      </c>
      <c r="G43" s="68"/>
      <c r="H43" s="69" t="s">
        <v>150</v>
      </c>
      <c r="I43" s="69"/>
      <c r="J43" s="41">
        <f>IFERROR(VLOOKUP(H43&amp;I43,$A$3:$D$101,4,0),0)</f>
        <v>16</v>
      </c>
      <c r="AG43" s="130"/>
      <c r="AH43" s="218" t="s">
        <v>106</v>
      </c>
      <c r="AI43" s="217">
        <f t="shared" si="35"/>
        <v>5</v>
      </c>
      <c r="AJ43" s="217">
        <f t="shared" si="36"/>
        <v>11.5</v>
      </c>
      <c r="AK43" s="217">
        <f t="shared" ref="AK43:AK44" si="44">ROUNDDOWN(AJ43/3,0)</f>
        <v>3</v>
      </c>
      <c r="AL43" s="219">
        <f t="shared" ref="AL43:AL44" si="45">IF(AK43&gt;0,IF((AM43&gt;0)*AND((AK43)&gt;1),AK43-1,AK43),AK43)</f>
        <v>2</v>
      </c>
      <c r="AM43" s="217">
        <f t="shared" ref="AM43:AM44" si="46">AJ43-(3*AK43)</f>
        <v>2.5</v>
      </c>
      <c r="AN43" s="220">
        <f t="shared" ref="AN43:AN44" si="47">3*(AK43-AL43)+AM43</f>
        <v>5.5</v>
      </c>
    </row>
    <row r="44" spans="1:40" ht="31.5" customHeight="1" x14ac:dyDescent="0.55000000000000004">
      <c r="A44" s="42" t="str">
        <f t="shared" si="1"/>
        <v>-바닐라피칸스콘</v>
      </c>
      <c r="B44" s="4" t="s">
        <v>245</v>
      </c>
      <c r="C44" s="4"/>
      <c r="D44" s="4">
        <v>358</v>
      </c>
      <c r="G44" s="68"/>
      <c r="H44" s="70" t="s">
        <v>151</v>
      </c>
      <c r="I44" s="71"/>
      <c r="J44" s="41">
        <f>IFERROR(VLOOKUP(H44&amp;I44,$A$3:$D$101,4,0),0)</f>
        <v>5</v>
      </c>
      <c r="AG44" s="131"/>
      <c r="AH44" s="156" t="s">
        <v>86</v>
      </c>
      <c r="AI44" s="154">
        <f t="shared" si="35"/>
        <v>1</v>
      </c>
      <c r="AJ44" s="154">
        <f t="shared" si="36"/>
        <v>28</v>
      </c>
      <c r="AK44" s="154">
        <f t="shared" si="44"/>
        <v>9</v>
      </c>
      <c r="AL44" s="158">
        <f t="shared" si="45"/>
        <v>8</v>
      </c>
      <c r="AM44" s="154">
        <f t="shared" si="46"/>
        <v>1</v>
      </c>
      <c r="AN44" s="159">
        <f t="shared" si="47"/>
        <v>4</v>
      </c>
    </row>
    <row r="45" spans="1:40" ht="31.5" customHeight="1" x14ac:dyDescent="0.55000000000000004">
      <c r="A45" s="42" t="str">
        <f t="shared" si="1"/>
        <v>-버터밀크비스킷스콘</v>
      </c>
      <c r="B45" s="4" t="s">
        <v>246</v>
      </c>
      <c r="C45" s="4"/>
      <c r="D45" s="4">
        <v>155</v>
      </c>
      <c r="G45" s="68"/>
      <c r="H45" s="69" t="s">
        <v>162</v>
      </c>
      <c r="I45" s="69"/>
      <c r="J45" s="41">
        <f t="shared" ref="J45:J48" si="48">IFERROR(VLOOKUP(H45&amp;I45,$A$3:$D$101,4,0),0)</f>
        <v>110</v>
      </c>
      <c r="AG45" s="131"/>
      <c r="AH45" s="218" t="s">
        <v>183</v>
      </c>
      <c r="AI45" s="217">
        <f t="shared" si="35"/>
        <v>7</v>
      </c>
      <c r="AJ45" s="217">
        <f t="shared" si="36"/>
        <v>0</v>
      </c>
      <c r="AK45" s="217">
        <f t="shared" si="17"/>
        <v>0</v>
      </c>
      <c r="AL45" s="219">
        <f t="shared" ref="AL45" si="49">IF(AK45&gt;0,IF((AM45&gt;0)*AND((AK45)&gt;1),AK45-1,AK45),AK45)</f>
        <v>0</v>
      </c>
      <c r="AM45" s="217">
        <f t="shared" si="19"/>
        <v>0</v>
      </c>
      <c r="AN45" s="220">
        <f t="shared" si="43"/>
        <v>0</v>
      </c>
    </row>
    <row r="46" spans="1:40" ht="31.5" customHeight="1" x14ac:dyDescent="0.55000000000000004">
      <c r="A46" s="42" t="str">
        <f t="shared" si="1"/>
        <v>-베리초코칩스콘</v>
      </c>
      <c r="B46" s="4" t="s">
        <v>247</v>
      </c>
      <c r="C46" s="4"/>
      <c r="D46" s="4">
        <v>137</v>
      </c>
      <c r="G46" s="68" t="s">
        <v>190</v>
      </c>
      <c r="H46" s="69" t="s">
        <v>164</v>
      </c>
      <c r="I46" s="69"/>
      <c r="J46" s="41">
        <f t="shared" si="48"/>
        <v>429</v>
      </c>
      <c r="AG46" s="130"/>
      <c r="AH46" s="156" t="s">
        <v>167</v>
      </c>
      <c r="AI46" s="154">
        <f t="shared" si="35"/>
        <v>7</v>
      </c>
      <c r="AJ46" s="154">
        <f t="shared" si="36"/>
        <v>54.5</v>
      </c>
      <c r="AK46" s="154">
        <f t="shared" si="17"/>
        <v>18</v>
      </c>
      <c r="AL46" s="158">
        <f t="shared" ref="AL46:AL48" si="50">IF(AK46&gt;0,IF((AM46&gt;0)*AND((AK46)&gt;1),AK46-1,AK46),AK46)</f>
        <v>17</v>
      </c>
      <c r="AM46" s="154">
        <f t="shared" si="19"/>
        <v>0.5</v>
      </c>
      <c r="AN46" s="159">
        <f t="shared" si="43"/>
        <v>3.5</v>
      </c>
    </row>
    <row r="47" spans="1:40" ht="31.5" customHeight="1" x14ac:dyDescent="0.55000000000000004">
      <c r="A47" s="42" t="str">
        <f t="shared" si="1"/>
        <v>-순수오트스콘</v>
      </c>
      <c r="B47" s="4" t="s">
        <v>248</v>
      </c>
      <c r="C47" s="4"/>
      <c r="D47" s="4">
        <v>87</v>
      </c>
      <c r="G47" s="68"/>
      <c r="H47" s="69" t="s">
        <v>165</v>
      </c>
      <c r="I47" s="69"/>
      <c r="J47" s="41">
        <f t="shared" si="48"/>
        <v>34</v>
      </c>
      <c r="AH47" s="221" t="s">
        <v>174</v>
      </c>
      <c r="AI47" s="222">
        <f t="shared" si="35"/>
        <v>7</v>
      </c>
      <c r="AJ47" s="222">
        <f t="shared" si="36"/>
        <v>14.5</v>
      </c>
      <c r="AK47" s="222">
        <f t="shared" si="17"/>
        <v>4</v>
      </c>
      <c r="AL47" s="223">
        <f t="shared" si="50"/>
        <v>3</v>
      </c>
      <c r="AM47" s="222">
        <f t="shared" si="19"/>
        <v>2.5</v>
      </c>
      <c r="AN47" s="224">
        <f t="shared" si="43"/>
        <v>5.5</v>
      </c>
    </row>
    <row r="48" spans="1:40" ht="31.5" customHeight="1" thickBot="1" x14ac:dyDescent="0.6">
      <c r="A48" s="42" t="str">
        <f t="shared" si="1"/>
        <v>-카카오스콘</v>
      </c>
      <c r="B48" s="4" t="s">
        <v>249</v>
      </c>
      <c r="C48" s="4"/>
      <c r="D48" s="4">
        <v>193</v>
      </c>
      <c r="G48" s="68"/>
      <c r="H48" s="70" t="s">
        <v>166</v>
      </c>
      <c r="I48" s="69"/>
      <c r="J48" s="41">
        <f t="shared" si="48"/>
        <v>11</v>
      </c>
      <c r="AH48" s="225" t="s">
        <v>108</v>
      </c>
      <c r="AI48" s="226">
        <f t="shared" si="35"/>
        <v>7</v>
      </c>
      <c r="AJ48" s="226">
        <f t="shared" si="36"/>
        <v>18</v>
      </c>
      <c r="AK48" s="226">
        <f t="shared" si="17"/>
        <v>6</v>
      </c>
      <c r="AL48" s="226">
        <f t="shared" si="50"/>
        <v>6</v>
      </c>
      <c r="AM48" s="226">
        <f t="shared" si="19"/>
        <v>0</v>
      </c>
      <c r="AN48" s="227">
        <f t="shared" si="43"/>
        <v>0</v>
      </c>
    </row>
    <row r="49" spans="1:10" ht="31.5" customHeight="1" x14ac:dyDescent="0.3">
      <c r="A49" s="42" t="str">
        <f t="shared" si="1"/>
        <v>-통밀츄러스콘</v>
      </c>
      <c r="B49" s="4" t="s">
        <v>250</v>
      </c>
      <c r="C49" s="4"/>
      <c r="D49" s="4">
        <v>250</v>
      </c>
      <c r="G49" s="68"/>
      <c r="H49" s="69" t="s">
        <v>170</v>
      </c>
      <c r="I49" s="69"/>
      <c r="J49" s="41">
        <f>IFERROR(VLOOKUP(H49&amp;I49,$A$3:$D$101,4,0),0)</f>
        <v>3</v>
      </c>
    </row>
    <row r="50" spans="1:10" ht="31.5" customHeight="1" x14ac:dyDescent="0.3">
      <c r="A50" s="42" t="str">
        <f t="shared" si="1"/>
        <v>서비스스콘</v>
      </c>
      <c r="B50" s="4" t="s">
        <v>251</v>
      </c>
      <c r="C50" s="4"/>
      <c r="D50" s="4">
        <v>110</v>
      </c>
      <c r="G50" s="68" t="s">
        <v>191</v>
      </c>
      <c r="H50" s="69" t="s">
        <v>172</v>
      </c>
      <c r="I50" s="69"/>
      <c r="J50" s="41">
        <f t="shared" ref="J50" si="51">IFERROR(VLOOKUP(H50&amp;I50,$A$3:$D$101,4,0),0)</f>
        <v>109</v>
      </c>
    </row>
    <row r="51" spans="1:10" ht="31.5" customHeight="1" x14ac:dyDescent="0.3">
      <c r="A51" s="42" t="str">
        <f t="shared" si="1"/>
        <v>스타터팩</v>
      </c>
      <c r="B51" s="4" t="s">
        <v>252</v>
      </c>
      <c r="C51" s="4"/>
      <c r="D51" s="4">
        <v>3</v>
      </c>
      <c r="G51" s="68"/>
      <c r="H51" s="70" t="s">
        <v>173</v>
      </c>
      <c r="I51" s="71"/>
      <c r="J51" s="41">
        <f>IFERROR(VLOOKUP(H51&amp;I51,$A$3:$D$101,4,0),0)</f>
        <v>5</v>
      </c>
    </row>
    <row r="52" spans="1:10" ht="31.5" customHeight="1" x14ac:dyDescent="0.3">
      <c r="A52" s="42" t="str">
        <f t="shared" ref="A52:A67" si="52">B52&amp;C52</f>
        <v/>
      </c>
      <c r="B52" s="4"/>
      <c r="C52" s="4"/>
      <c r="D52" s="4"/>
      <c r="G52" s="68" t="s">
        <v>192</v>
      </c>
      <c r="H52" s="69" t="s">
        <v>184</v>
      </c>
      <c r="I52" s="69"/>
      <c r="J52" s="41">
        <f t="shared" ref="J52:J58" si="53">IFERROR(VLOOKUP(H52&amp;I52,$A$3:$D$101,4,0),0)</f>
        <v>0</v>
      </c>
    </row>
    <row r="53" spans="1:10" ht="31.5" customHeight="1" x14ac:dyDescent="0.3">
      <c r="A53" s="42" t="str">
        <f t="shared" si="52"/>
        <v/>
      </c>
      <c r="B53" s="4"/>
      <c r="C53" s="4"/>
      <c r="D53" s="4"/>
      <c r="G53" s="68"/>
      <c r="H53" s="70" t="s">
        <v>185</v>
      </c>
      <c r="I53" s="69"/>
      <c r="J53" s="41">
        <f t="shared" si="53"/>
        <v>0</v>
      </c>
    </row>
    <row r="54" spans="1:10" ht="31.5" customHeight="1" x14ac:dyDescent="0.3">
      <c r="A54" s="42" t="str">
        <f>B54&amp;C54</f>
        <v/>
      </c>
      <c r="B54" s="4"/>
      <c r="C54" s="4"/>
      <c r="D54" s="4"/>
      <c r="G54" s="68"/>
      <c r="H54" s="69" t="s">
        <v>198</v>
      </c>
      <c r="I54" s="69"/>
      <c r="J54" s="41">
        <f t="shared" si="53"/>
        <v>0</v>
      </c>
    </row>
    <row r="55" spans="1:10" ht="31.5" customHeight="1" x14ac:dyDescent="0.3">
      <c r="A55" s="42" t="str">
        <f t="shared" si="52"/>
        <v/>
      </c>
      <c r="B55" s="4"/>
      <c r="C55" s="3"/>
      <c r="D55" s="46"/>
      <c r="G55" s="68"/>
      <c r="H55" s="69" t="s">
        <v>202</v>
      </c>
      <c r="I55" s="69"/>
      <c r="J55" s="41">
        <f t="shared" si="53"/>
        <v>0</v>
      </c>
    </row>
    <row r="56" spans="1:10" ht="31.5" customHeight="1" x14ac:dyDescent="0.3">
      <c r="A56" s="42" t="str">
        <f t="shared" si="52"/>
        <v/>
      </c>
      <c r="B56" s="3"/>
      <c r="C56" s="3"/>
      <c r="D56" s="46"/>
      <c r="G56" s="68"/>
      <c r="H56" s="69" t="s">
        <v>199</v>
      </c>
      <c r="I56" s="69"/>
      <c r="J56" s="41">
        <f t="shared" si="53"/>
        <v>129</v>
      </c>
    </row>
    <row r="57" spans="1:10" ht="31.5" customHeight="1" x14ac:dyDescent="0.3">
      <c r="A57" s="42" t="str">
        <f t="shared" si="52"/>
        <v/>
      </c>
      <c r="B57" s="3"/>
      <c r="C57" s="3"/>
      <c r="D57" s="4"/>
      <c r="G57" s="68"/>
      <c r="H57" s="69" t="s">
        <v>200</v>
      </c>
      <c r="I57" s="69"/>
      <c r="J57" s="41">
        <f t="shared" si="53"/>
        <v>0</v>
      </c>
    </row>
    <row r="58" spans="1:10" ht="31.5" customHeight="1" x14ac:dyDescent="0.3">
      <c r="A58" s="42" t="str">
        <f t="shared" si="52"/>
        <v/>
      </c>
      <c r="B58" s="4"/>
      <c r="C58" s="4"/>
      <c r="D58" s="4"/>
      <c r="G58" s="68"/>
      <c r="H58" s="69" t="s">
        <v>201</v>
      </c>
      <c r="I58" s="69"/>
      <c r="J58" s="41">
        <f t="shared" si="53"/>
        <v>0</v>
      </c>
    </row>
    <row r="59" spans="1:10" ht="31.5" customHeight="1" x14ac:dyDescent="0.3">
      <c r="A59" s="2" t="str">
        <f t="shared" si="52"/>
        <v/>
      </c>
      <c r="B59" s="4"/>
      <c r="C59" s="4"/>
      <c r="D59" s="4"/>
      <c r="G59" s="68"/>
      <c r="H59" s="69"/>
      <c r="I59" s="69"/>
      <c r="J59" s="41"/>
    </row>
    <row r="60" spans="1:10" ht="31.5" customHeight="1" x14ac:dyDescent="0.3">
      <c r="A60" s="2" t="str">
        <f t="shared" si="52"/>
        <v/>
      </c>
      <c r="B60" s="4"/>
      <c r="C60" s="4"/>
      <c r="D60" s="4"/>
      <c r="G60" s="68"/>
      <c r="H60" s="69"/>
      <c r="I60" s="69"/>
      <c r="J60" s="41"/>
    </row>
    <row r="61" spans="1:10" ht="31.5" customHeight="1" x14ac:dyDescent="0.3">
      <c r="A61" s="2" t="str">
        <f t="shared" si="52"/>
        <v/>
      </c>
      <c r="B61" s="4"/>
      <c r="C61" s="4"/>
      <c r="D61" s="4"/>
      <c r="G61" s="68"/>
      <c r="H61" s="69"/>
      <c r="I61" s="69"/>
      <c r="J61" s="41"/>
    </row>
    <row r="62" spans="1:10" ht="31.5" customHeight="1" x14ac:dyDescent="0.3">
      <c r="A62" s="2" t="str">
        <f t="shared" si="52"/>
        <v/>
      </c>
      <c r="B62" s="4"/>
      <c r="C62" s="4"/>
      <c r="D62" s="4"/>
    </row>
    <row r="63" spans="1:10" ht="31.5" customHeight="1" x14ac:dyDescent="0.3">
      <c r="A63" s="2" t="str">
        <f t="shared" si="52"/>
        <v/>
      </c>
      <c r="B63" s="4"/>
      <c r="C63" s="4"/>
      <c r="D63" s="4"/>
    </row>
    <row r="64" spans="1:10" ht="31.5" customHeight="1" x14ac:dyDescent="0.3">
      <c r="A64" s="2" t="str">
        <f t="shared" si="52"/>
        <v/>
      </c>
      <c r="B64" s="4"/>
      <c r="C64" s="4"/>
      <c r="D64" s="4"/>
    </row>
    <row r="65" spans="1:4" ht="31.5" customHeight="1" x14ac:dyDescent="0.3">
      <c r="A65" s="2" t="str">
        <f t="shared" si="52"/>
        <v/>
      </c>
      <c r="B65" s="4"/>
      <c r="C65" s="4"/>
      <c r="D65" s="4"/>
    </row>
    <row r="66" spans="1:4" ht="31.5" customHeight="1" x14ac:dyDescent="0.3">
      <c r="A66" s="2" t="str">
        <f t="shared" si="52"/>
        <v/>
      </c>
      <c r="B66" s="4"/>
      <c r="C66" s="4"/>
      <c r="D66" s="4"/>
    </row>
    <row r="67" spans="1:4" ht="31.5" customHeight="1" x14ac:dyDescent="0.3">
      <c r="A67" s="2" t="str">
        <f t="shared" si="52"/>
        <v/>
      </c>
      <c r="B67" s="4"/>
      <c r="C67" s="4"/>
      <c r="D67" s="4"/>
    </row>
    <row r="68" spans="1:4" ht="31.5" customHeight="1" x14ac:dyDescent="0.3">
      <c r="A68" s="2" t="str">
        <f>B68&amp;C68</f>
        <v/>
      </c>
      <c r="B68" s="4"/>
      <c r="C68" s="4"/>
    </row>
    <row r="69" spans="1:4" ht="31.5" customHeight="1" x14ac:dyDescent="0.3">
      <c r="A69" s="2" t="str">
        <f t="shared" ref="A69:A101" si="54">B69&amp;C69</f>
        <v/>
      </c>
    </row>
    <row r="70" spans="1:4" ht="31.5" customHeight="1" x14ac:dyDescent="0.3">
      <c r="A70" s="2" t="str">
        <f t="shared" si="54"/>
        <v/>
      </c>
    </row>
    <row r="71" spans="1:4" ht="31.5" customHeight="1" x14ac:dyDescent="0.3">
      <c r="A71" s="2" t="str">
        <f t="shared" si="54"/>
        <v/>
      </c>
      <c r="C71" s="4"/>
    </row>
    <row r="72" spans="1:4" ht="31.5" customHeight="1" x14ac:dyDescent="0.3">
      <c r="A72" s="2" t="str">
        <f t="shared" si="54"/>
        <v/>
      </c>
    </row>
    <row r="73" spans="1:4" ht="31.5" customHeight="1" x14ac:dyDescent="0.3">
      <c r="A73" s="2" t="str">
        <f t="shared" si="54"/>
        <v/>
      </c>
    </row>
    <row r="74" spans="1:4" ht="31.5" customHeight="1" x14ac:dyDescent="0.3">
      <c r="A74" s="2" t="str">
        <f t="shared" si="54"/>
        <v/>
      </c>
    </row>
    <row r="75" spans="1:4" ht="31.5" customHeight="1" x14ac:dyDescent="0.3">
      <c r="A75" s="2" t="str">
        <f t="shared" si="54"/>
        <v/>
      </c>
    </row>
    <row r="76" spans="1:4" ht="31.5" customHeight="1" x14ac:dyDescent="0.3">
      <c r="A76" s="2" t="str">
        <f>B76&amp;C76</f>
        <v/>
      </c>
    </row>
    <row r="77" spans="1:4" ht="31.5" customHeight="1" x14ac:dyDescent="0.3">
      <c r="A77" s="2" t="str">
        <f>B77&amp;C77</f>
        <v/>
      </c>
    </row>
    <row r="78" spans="1:4" x14ac:dyDescent="0.3">
      <c r="A78" s="2" t="str">
        <f>B78&amp;C78</f>
        <v/>
      </c>
    </row>
    <row r="79" spans="1:4" x14ac:dyDescent="0.3">
      <c r="A79" s="2" t="str">
        <f>B79&amp;C79</f>
        <v/>
      </c>
    </row>
    <row r="80" spans="1:4" x14ac:dyDescent="0.3">
      <c r="A80" s="2" t="str">
        <f>B80&amp;C80</f>
        <v/>
      </c>
    </row>
    <row r="81" spans="1:1" x14ac:dyDescent="0.3">
      <c r="A81" s="2" t="str">
        <f t="shared" si="54"/>
        <v/>
      </c>
    </row>
    <row r="82" spans="1:1" x14ac:dyDescent="0.3">
      <c r="A82" s="2" t="str">
        <f t="shared" si="54"/>
        <v/>
      </c>
    </row>
    <row r="83" spans="1:1" x14ac:dyDescent="0.3">
      <c r="A83" s="2" t="str">
        <f t="shared" si="54"/>
        <v/>
      </c>
    </row>
    <row r="84" spans="1:1" x14ac:dyDescent="0.3">
      <c r="A84" s="2" t="str">
        <f t="shared" si="54"/>
        <v/>
      </c>
    </row>
    <row r="85" spans="1:1" x14ac:dyDescent="0.3">
      <c r="A85" s="2" t="str">
        <f t="shared" si="54"/>
        <v/>
      </c>
    </row>
    <row r="86" spans="1:1" x14ac:dyDescent="0.3">
      <c r="A86" s="2" t="str">
        <f t="shared" si="54"/>
        <v/>
      </c>
    </row>
    <row r="87" spans="1:1" x14ac:dyDescent="0.3">
      <c r="A87" s="2"/>
    </row>
    <row r="88" spans="1:1" x14ac:dyDescent="0.3">
      <c r="A88" s="2" t="str">
        <f t="shared" si="54"/>
        <v/>
      </c>
    </row>
    <row r="89" spans="1:1" x14ac:dyDescent="0.3">
      <c r="A89" s="2" t="str">
        <f t="shared" si="54"/>
        <v/>
      </c>
    </row>
    <row r="90" spans="1:1" x14ac:dyDescent="0.3">
      <c r="A90" s="2" t="str">
        <f t="shared" si="54"/>
        <v/>
      </c>
    </row>
    <row r="91" spans="1:1" x14ac:dyDescent="0.3">
      <c r="A91" s="2" t="str">
        <f t="shared" si="54"/>
        <v/>
      </c>
    </row>
    <row r="92" spans="1:1" x14ac:dyDescent="0.3">
      <c r="A92" s="2" t="str">
        <f t="shared" si="54"/>
        <v/>
      </c>
    </row>
    <row r="93" spans="1:1" x14ac:dyDescent="0.3">
      <c r="A93" s="2" t="str">
        <f t="shared" si="54"/>
        <v/>
      </c>
    </row>
    <row r="94" spans="1:1" x14ac:dyDescent="0.3">
      <c r="A94" s="2" t="str">
        <f t="shared" si="54"/>
        <v/>
      </c>
    </row>
    <row r="95" spans="1:1" x14ac:dyDescent="0.3">
      <c r="A95" s="2" t="str">
        <f t="shared" si="54"/>
        <v/>
      </c>
    </row>
    <row r="96" spans="1:1" x14ac:dyDescent="0.3">
      <c r="A96" s="2" t="str">
        <f t="shared" si="54"/>
        <v/>
      </c>
    </row>
    <row r="97" spans="1:1" x14ac:dyDescent="0.3">
      <c r="A97" s="2" t="str">
        <f t="shared" si="54"/>
        <v/>
      </c>
    </row>
    <row r="98" spans="1:1" x14ac:dyDescent="0.3">
      <c r="A98" s="2" t="str">
        <f t="shared" si="54"/>
        <v/>
      </c>
    </row>
    <row r="99" spans="1:1" x14ac:dyDescent="0.3">
      <c r="A99" s="2" t="str">
        <f t="shared" si="54"/>
        <v/>
      </c>
    </row>
    <row r="100" spans="1:1" x14ac:dyDescent="0.3">
      <c r="A100" s="2" t="str">
        <f t="shared" si="54"/>
        <v/>
      </c>
    </row>
    <row r="101" spans="1:1" x14ac:dyDescent="0.3">
      <c r="A101" s="2" t="str">
        <f t="shared" si="54"/>
        <v/>
      </c>
    </row>
    <row r="128" ht="15.75" customHeight="1" x14ac:dyDescent="0.3"/>
    <row r="150" ht="21" customHeight="1" x14ac:dyDescent="0.3"/>
  </sheetData>
  <mergeCells count="13">
    <mergeCell ref="A2:D2"/>
    <mergeCell ref="Q2:Q3"/>
    <mergeCell ref="O27:P27"/>
    <mergeCell ref="N2:O2"/>
    <mergeCell ref="N1:AD1"/>
    <mergeCell ref="G2:J2"/>
    <mergeCell ref="P2:P3"/>
    <mergeCell ref="O26:P26"/>
    <mergeCell ref="AG2:AG3"/>
    <mergeCell ref="R2:W2"/>
    <mergeCell ref="AF2:AF3"/>
    <mergeCell ref="AC2:AD2"/>
    <mergeCell ref="Y2:AB2"/>
  </mergeCells>
  <phoneticPr fontId="1" type="noConversion"/>
  <pageMargins left="0.70866141732283461" right="0.70866141732283461" top="0.74803149606299213" bottom="0.74803149606299213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9B0-BFCE-4403-A366-2D18D185CF01}">
  <sheetPr codeName="Sheet4">
    <pageSetUpPr fitToPage="1"/>
  </sheetPr>
  <dimension ref="A1:I31"/>
  <sheetViews>
    <sheetView view="pageBreakPreview" zoomScaleNormal="100" zoomScaleSheetLayoutView="100" workbookViewId="0">
      <selection activeCell="S26" sqref="S26"/>
    </sheetView>
  </sheetViews>
  <sheetFormatPr defaultRowHeight="12.75" x14ac:dyDescent="0.2"/>
  <cols>
    <col min="1" max="10" width="8.625" style="7" customWidth="1"/>
    <col min="11" max="258" width="9" style="7"/>
    <col min="259" max="259" width="8.125" style="7" bestFit="1" customWidth="1"/>
    <col min="260" max="261" width="8.25" style="7" bestFit="1" customWidth="1"/>
    <col min="262" max="514" width="9" style="7"/>
    <col min="515" max="515" width="8.125" style="7" bestFit="1" customWidth="1"/>
    <col min="516" max="517" width="8.25" style="7" bestFit="1" customWidth="1"/>
    <col min="518" max="770" width="9" style="7"/>
    <col min="771" max="771" width="8.125" style="7" bestFit="1" customWidth="1"/>
    <col min="772" max="773" width="8.25" style="7" bestFit="1" customWidth="1"/>
    <col min="774" max="1026" width="9" style="7"/>
    <col min="1027" max="1027" width="8.125" style="7" bestFit="1" customWidth="1"/>
    <col min="1028" max="1029" width="8.25" style="7" bestFit="1" customWidth="1"/>
    <col min="1030" max="1282" width="9" style="7"/>
    <col min="1283" max="1283" width="8.125" style="7" bestFit="1" customWidth="1"/>
    <col min="1284" max="1285" width="8.25" style="7" bestFit="1" customWidth="1"/>
    <col min="1286" max="1538" width="9" style="7"/>
    <col min="1539" max="1539" width="8.125" style="7" bestFit="1" customWidth="1"/>
    <col min="1540" max="1541" width="8.25" style="7" bestFit="1" customWidth="1"/>
    <col min="1542" max="1794" width="9" style="7"/>
    <col min="1795" max="1795" width="8.125" style="7" bestFit="1" customWidth="1"/>
    <col min="1796" max="1797" width="8.25" style="7" bestFit="1" customWidth="1"/>
    <col min="1798" max="2050" width="9" style="7"/>
    <col min="2051" max="2051" width="8.125" style="7" bestFit="1" customWidth="1"/>
    <col min="2052" max="2053" width="8.25" style="7" bestFit="1" customWidth="1"/>
    <col min="2054" max="2306" width="9" style="7"/>
    <col min="2307" max="2307" width="8.125" style="7" bestFit="1" customWidth="1"/>
    <col min="2308" max="2309" width="8.25" style="7" bestFit="1" customWidth="1"/>
    <col min="2310" max="2562" width="9" style="7"/>
    <col min="2563" max="2563" width="8.125" style="7" bestFit="1" customWidth="1"/>
    <col min="2564" max="2565" width="8.25" style="7" bestFit="1" customWidth="1"/>
    <col min="2566" max="2818" width="9" style="7"/>
    <col min="2819" max="2819" width="8.125" style="7" bestFit="1" customWidth="1"/>
    <col min="2820" max="2821" width="8.25" style="7" bestFit="1" customWidth="1"/>
    <col min="2822" max="3074" width="9" style="7"/>
    <col min="3075" max="3075" width="8.125" style="7" bestFit="1" customWidth="1"/>
    <col min="3076" max="3077" width="8.25" style="7" bestFit="1" customWidth="1"/>
    <col min="3078" max="3330" width="9" style="7"/>
    <col min="3331" max="3331" width="8.125" style="7" bestFit="1" customWidth="1"/>
    <col min="3332" max="3333" width="8.25" style="7" bestFit="1" customWidth="1"/>
    <col min="3334" max="3586" width="9" style="7"/>
    <col min="3587" max="3587" width="8.125" style="7" bestFit="1" customWidth="1"/>
    <col min="3588" max="3589" width="8.25" style="7" bestFit="1" customWidth="1"/>
    <col min="3590" max="3842" width="9" style="7"/>
    <col min="3843" max="3843" width="8.125" style="7" bestFit="1" customWidth="1"/>
    <col min="3844" max="3845" width="8.25" style="7" bestFit="1" customWidth="1"/>
    <col min="3846" max="4098" width="9" style="7"/>
    <col min="4099" max="4099" width="8.125" style="7" bestFit="1" customWidth="1"/>
    <col min="4100" max="4101" width="8.25" style="7" bestFit="1" customWidth="1"/>
    <col min="4102" max="4354" width="9" style="7"/>
    <col min="4355" max="4355" width="8.125" style="7" bestFit="1" customWidth="1"/>
    <col min="4356" max="4357" width="8.25" style="7" bestFit="1" customWidth="1"/>
    <col min="4358" max="4610" width="9" style="7"/>
    <col min="4611" max="4611" width="8.125" style="7" bestFit="1" customWidth="1"/>
    <col min="4612" max="4613" width="8.25" style="7" bestFit="1" customWidth="1"/>
    <col min="4614" max="4866" width="9" style="7"/>
    <col min="4867" max="4867" width="8.125" style="7" bestFit="1" customWidth="1"/>
    <col min="4868" max="4869" width="8.25" style="7" bestFit="1" customWidth="1"/>
    <col min="4870" max="5122" width="9" style="7"/>
    <col min="5123" max="5123" width="8.125" style="7" bestFit="1" customWidth="1"/>
    <col min="5124" max="5125" width="8.25" style="7" bestFit="1" customWidth="1"/>
    <col min="5126" max="5378" width="9" style="7"/>
    <col min="5379" max="5379" width="8.125" style="7" bestFit="1" customWidth="1"/>
    <col min="5380" max="5381" width="8.25" style="7" bestFit="1" customWidth="1"/>
    <col min="5382" max="5634" width="9" style="7"/>
    <col min="5635" max="5635" width="8.125" style="7" bestFit="1" customWidth="1"/>
    <col min="5636" max="5637" width="8.25" style="7" bestFit="1" customWidth="1"/>
    <col min="5638" max="5890" width="9" style="7"/>
    <col min="5891" max="5891" width="8.125" style="7" bestFit="1" customWidth="1"/>
    <col min="5892" max="5893" width="8.25" style="7" bestFit="1" customWidth="1"/>
    <col min="5894" max="6146" width="9" style="7"/>
    <col min="6147" max="6147" width="8.125" style="7" bestFit="1" customWidth="1"/>
    <col min="6148" max="6149" width="8.25" style="7" bestFit="1" customWidth="1"/>
    <col min="6150" max="6402" width="9" style="7"/>
    <col min="6403" max="6403" width="8.125" style="7" bestFit="1" customWidth="1"/>
    <col min="6404" max="6405" width="8.25" style="7" bestFit="1" customWidth="1"/>
    <col min="6406" max="6658" width="9" style="7"/>
    <col min="6659" max="6659" width="8.125" style="7" bestFit="1" customWidth="1"/>
    <col min="6660" max="6661" width="8.25" style="7" bestFit="1" customWidth="1"/>
    <col min="6662" max="6914" width="9" style="7"/>
    <col min="6915" max="6915" width="8.125" style="7" bestFit="1" customWidth="1"/>
    <col min="6916" max="6917" width="8.25" style="7" bestFit="1" customWidth="1"/>
    <col min="6918" max="7170" width="9" style="7"/>
    <col min="7171" max="7171" width="8.125" style="7" bestFit="1" customWidth="1"/>
    <col min="7172" max="7173" width="8.25" style="7" bestFit="1" customWidth="1"/>
    <col min="7174" max="7426" width="9" style="7"/>
    <col min="7427" max="7427" width="8.125" style="7" bestFit="1" customWidth="1"/>
    <col min="7428" max="7429" width="8.25" style="7" bestFit="1" customWidth="1"/>
    <col min="7430" max="7682" width="9" style="7"/>
    <col min="7683" max="7683" width="8.125" style="7" bestFit="1" customWidth="1"/>
    <col min="7684" max="7685" width="8.25" style="7" bestFit="1" customWidth="1"/>
    <col min="7686" max="7938" width="9" style="7"/>
    <col min="7939" max="7939" width="8.125" style="7" bestFit="1" customWidth="1"/>
    <col min="7940" max="7941" width="8.25" style="7" bestFit="1" customWidth="1"/>
    <col min="7942" max="8194" width="9" style="7"/>
    <col min="8195" max="8195" width="8.125" style="7" bestFit="1" customWidth="1"/>
    <col min="8196" max="8197" width="8.25" style="7" bestFit="1" customWidth="1"/>
    <col min="8198" max="8450" width="9" style="7"/>
    <col min="8451" max="8451" width="8.125" style="7" bestFit="1" customWidth="1"/>
    <col min="8452" max="8453" width="8.25" style="7" bestFit="1" customWidth="1"/>
    <col min="8454" max="8706" width="9" style="7"/>
    <col min="8707" max="8707" width="8.125" style="7" bestFit="1" customWidth="1"/>
    <col min="8708" max="8709" width="8.25" style="7" bestFit="1" customWidth="1"/>
    <col min="8710" max="8962" width="9" style="7"/>
    <col min="8963" max="8963" width="8.125" style="7" bestFit="1" customWidth="1"/>
    <col min="8964" max="8965" width="8.25" style="7" bestFit="1" customWidth="1"/>
    <col min="8966" max="9218" width="9" style="7"/>
    <col min="9219" max="9219" width="8.125" style="7" bestFit="1" customWidth="1"/>
    <col min="9220" max="9221" width="8.25" style="7" bestFit="1" customWidth="1"/>
    <col min="9222" max="9474" width="9" style="7"/>
    <col min="9475" max="9475" width="8.125" style="7" bestFit="1" customWidth="1"/>
    <col min="9476" max="9477" width="8.25" style="7" bestFit="1" customWidth="1"/>
    <col min="9478" max="9730" width="9" style="7"/>
    <col min="9731" max="9731" width="8.125" style="7" bestFit="1" customWidth="1"/>
    <col min="9732" max="9733" width="8.25" style="7" bestFit="1" customWidth="1"/>
    <col min="9734" max="9986" width="9" style="7"/>
    <col min="9987" max="9987" width="8.125" style="7" bestFit="1" customWidth="1"/>
    <col min="9988" max="9989" width="8.25" style="7" bestFit="1" customWidth="1"/>
    <col min="9990" max="10242" width="9" style="7"/>
    <col min="10243" max="10243" width="8.125" style="7" bestFit="1" customWidth="1"/>
    <col min="10244" max="10245" width="8.25" style="7" bestFit="1" customWidth="1"/>
    <col min="10246" max="10498" width="9" style="7"/>
    <col min="10499" max="10499" width="8.125" style="7" bestFit="1" customWidth="1"/>
    <col min="10500" max="10501" width="8.25" style="7" bestFit="1" customWidth="1"/>
    <col min="10502" max="10754" width="9" style="7"/>
    <col min="10755" max="10755" width="8.125" style="7" bestFit="1" customWidth="1"/>
    <col min="10756" max="10757" width="8.25" style="7" bestFit="1" customWidth="1"/>
    <col min="10758" max="11010" width="9" style="7"/>
    <col min="11011" max="11011" width="8.125" style="7" bestFit="1" customWidth="1"/>
    <col min="11012" max="11013" width="8.25" style="7" bestFit="1" customWidth="1"/>
    <col min="11014" max="11266" width="9" style="7"/>
    <col min="11267" max="11267" width="8.125" style="7" bestFit="1" customWidth="1"/>
    <col min="11268" max="11269" width="8.25" style="7" bestFit="1" customWidth="1"/>
    <col min="11270" max="11522" width="9" style="7"/>
    <col min="11523" max="11523" width="8.125" style="7" bestFit="1" customWidth="1"/>
    <col min="11524" max="11525" width="8.25" style="7" bestFit="1" customWidth="1"/>
    <col min="11526" max="11778" width="9" style="7"/>
    <col min="11779" max="11779" width="8.125" style="7" bestFit="1" customWidth="1"/>
    <col min="11780" max="11781" width="8.25" style="7" bestFit="1" customWidth="1"/>
    <col min="11782" max="12034" width="9" style="7"/>
    <col min="12035" max="12035" width="8.125" style="7" bestFit="1" customWidth="1"/>
    <col min="12036" max="12037" width="8.25" style="7" bestFit="1" customWidth="1"/>
    <col min="12038" max="12290" width="9" style="7"/>
    <col min="12291" max="12291" width="8.125" style="7" bestFit="1" customWidth="1"/>
    <col min="12292" max="12293" width="8.25" style="7" bestFit="1" customWidth="1"/>
    <col min="12294" max="12546" width="9" style="7"/>
    <col min="12547" max="12547" width="8.125" style="7" bestFit="1" customWidth="1"/>
    <col min="12548" max="12549" width="8.25" style="7" bestFit="1" customWidth="1"/>
    <col min="12550" max="12802" width="9" style="7"/>
    <col min="12803" max="12803" width="8.125" style="7" bestFit="1" customWidth="1"/>
    <col min="12804" max="12805" width="8.25" style="7" bestFit="1" customWidth="1"/>
    <col min="12806" max="13058" width="9" style="7"/>
    <col min="13059" max="13059" width="8.125" style="7" bestFit="1" customWidth="1"/>
    <col min="13060" max="13061" width="8.25" style="7" bestFit="1" customWidth="1"/>
    <col min="13062" max="13314" width="9" style="7"/>
    <col min="13315" max="13315" width="8.125" style="7" bestFit="1" customWidth="1"/>
    <col min="13316" max="13317" width="8.25" style="7" bestFit="1" customWidth="1"/>
    <col min="13318" max="13570" width="9" style="7"/>
    <col min="13571" max="13571" width="8.125" style="7" bestFit="1" customWidth="1"/>
    <col min="13572" max="13573" width="8.25" style="7" bestFit="1" customWidth="1"/>
    <col min="13574" max="13826" width="9" style="7"/>
    <col min="13827" max="13827" width="8.125" style="7" bestFit="1" customWidth="1"/>
    <col min="13828" max="13829" width="8.25" style="7" bestFit="1" customWidth="1"/>
    <col min="13830" max="14082" width="9" style="7"/>
    <col min="14083" max="14083" width="8.125" style="7" bestFit="1" customWidth="1"/>
    <col min="14084" max="14085" width="8.25" style="7" bestFit="1" customWidth="1"/>
    <col min="14086" max="14338" width="9" style="7"/>
    <col min="14339" max="14339" width="8.125" style="7" bestFit="1" customWidth="1"/>
    <col min="14340" max="14341" width="8.25" style="7" bestFit="1" customWidth="1"/>
    <col min="14342" max="14594" width="9" style="7"/>
    <col min="14595" max="14595" width="8.125" style="7" bestFit="1" customWidth="1"/>
    <col min="14596" max="14597" width="8.25" style="7" bestFit="1" customWidth="1"/>
    <col min="14598" max="14850" width="9" style="7"/>
    <col min="14851" max="14851" width="8.125" style="7" bestFit="1" customWidth="1"/>
    <col min="14852" max="14853" width="8.25" style="7" bestFit="1" customWidth="1"/>
    <col min="14854" max="15106" width="9" style="7"/>
    <col min="15107" max="15107" width="8.125" style="7" bestFit="1" customWidth="1"/>
    <col min="15108" max="15109" width="8.25" style="7" bestFit="1" customWidth="1"/>
    <col min="15110" max="15362" width="9" style="7"/>
    <col min="15363" max="15363" width="8.125" style="7" bestFit="1" customWidth="1"/>
    <col min="15364" max="15365" width="8.25" style="7" bestFit="1" customWidth="1"/>
    <col min="15366" max="15618" width="9" style="7"/>
    <col min="15619" max="15619" width="8.125" style="7" bestFit="1" customWidth="1"/>
    <col min="15620" max="15621" width="8.25" style="7" bestFit="1" customWidth="1"/>
    <col min="15622" max="15874" width="9" style="7"/>
    <col min="15875" max="15875" width="8.125" style="7" bestFit="1" customWidth="1"/>
    <col min="15876" max="15877" width="8.25" style="7" bestFit="1" customWidth="1"/>
    <col min="15878" max="16130" width="9" style="7"/>
    <col min="16131" max="16131" width="8.125" style="7" bestFit="1" customWidth="1"/>
    <col min="16132" max="16133" width="8.25" style="7" bestFit="1" customWidth="1"/>
    <col min="16134" max="16384" width="9" style="7"/>
  </cols>
  <sheetData>
    <row r="1" spans="1:9" ht="25.5" x14ac:dyDescent="0.3">
      <c r="A1" s="289" t="s">
        <v>179</v>
      </c>
      <c r="B1" s="289"/>
      <c r="C1" s="289"/>
      <c r="D1" s="289"/>
      <c r="E1" s="289"/>
      <c r="F1" s="289"/>
      <c r="G1" s="289"/>
      <c r="H1" s="289"/>
      <c r="I1" s="289"/>
    </row>
    <row r="2" spans="1:9" ht="14.1" customHeight="1" x14ac:dyDescent="0.2">
      <c r="A2" s="9" t="s">
        <v>169</v>
      </c>
      <c r="B2" s="9"/>
      <c r="C2" s="110" t="s">
        <v>175</v>
      </c>
      <c r="D2" s="32"/>
      <c r="E2" s="32"/>
      <c r="F2" s="10"/>
      <c r="G2" s="10"/>
      <c r="H2" s="10"/>
      <c r="I2" s="10"/>
    </row>
    <row r="3" spans="1:9" ht="14.1" customHeight="1" x14ac:dyDescent="0.2">
      <c r="A3" s="10" t="s">
        <v>89</v>
      </c>
      <c r="B3" s="51" t="s">
        <v>103</v>
      </c>
      <c r="C3" s="51" t="s">
        <v>109</v>
      </c>
      <c r="D3" s="51" t="s">
        <v>104</v>
      </c>
      <c r="E3" s="32"/>
      <c r="F3" s="32"/>
      <c r="G3" s="32"/>
      <c r="H3" s="32"/>
    </row>
    <row r="4" spans="1:9" ht="14.1" customHeight="1" x14ac:dyDescent="0.2">
      <c r="A4" s="10"/>
      <c r="B4" s="51"/>
      <c r="C4" s="51"/>
      <c r="D4" s="51"/>
      <c r="E4" s="32" t="s">
        <v>105</v>
      </c>
      <c r="F4" s="52">
        <f>SUM(A4:D4)</f>
        <v>0</v>
      </c>
      <c r="G4" s="32"/>
      <c r="H4" s="32"/>
    </row>
    <row r="5" spans="1:9" ht="14.1" customHeight="1" x14ac:dyDescent="0.2">
      <c r="A5" s="9" t="s">
        <v>30</v>
      </c>
      <c r="B5" s="9"/>
      <c r="C5" s="9"/>
      <c r="D5" s="9"/>
      <c r="E5" s="9"/>
      <c r="F5" s="9"/>
      <c r="G5" s="9"/>
      <c r="H5" s="9"/>
      <c r="I5" s="9"/>
    </row>
    <row r="6" spans="1:9" ht="14.1" customHeigh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4.1" customHeight="1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4.1" customHeight="1" x14ac:dyDescent="0.2">
      <c r="A8" s="9"/>
      <c r="B8" s="9"/>
      <c r="C8" s="9"/>
      <c r="D8" s="9"/>
      <c r="E8" s="9"/>
      <c r="F8" s="9"/>
      <c r="G8" s="9"/>
      <c r="H8" s="9"/>
      <c r="I8" s="9"/>
    </row>
    <row r="9" spans="1:9" ht="14.1" customHeight="1" x14ac:dyDescent="0.2">
      <c r="A9" s="9" t="s">
        <v>107</v>
      </c>
      <c r="B9" s="9"/>
      <c r="C9" s="9"/>
      <c r="D9" s="9"/>
      <c r="E9" s="9"/>
      <c r="F9" s="9"/>
      <c r="H9" s="9"/>
    </row>
    <row r="10" spans="1:9" ht="14.1" customHeight="1" x14ac:dyDescent="0.2">
      <c r="A10" s="9"/>
      <c r="B10" s="9"/>
      <c r="C10" s="9"/>
      <c r="D10" s="9"/>
      <c r="E10" s="9"/>
      <c r="F10" s="9"/>
      <c r="H10" s="9"/>
    </row>
    <row r="11" spans="1:9" ht="14.1" customHeight="1" x14ac:dyDescent="0.2">
      <c r="A11" s="9"/>
      <c r="B11" s="9"/>
      <c r="C11" s="9"/>
      <c r="D11" s="9"/>
      <c r="E11" s="9"/>
      <c r="F11" s="9"/>
      <c r="H11" s="9"/>
      <c r="I11" s="9"/>
    </row>
    <row r="12" spans="1:9" ht="14.1" customHeight="1" x14ac:dyDescent="0.2">
      <c r="A12" s="9" t="s">
        <v>197</v>
      </c>
      <c r="B12" s="9"/>
      <c r="C12" s="9"/>
      <c r="D12" s="9"/>
      <c r="E12" s="9"/>
      <c r="F12" s="9"/>
      <c r="H12" s="9"/>
      <c r="I12" s="9"/>
    </row>
    <row r="13" spans="1:9" ht="14.1" customHeight="1" x14ac:dyDescent="0.2">
      <c r="A13" s="9"/>
      <c r="B13" s="9"/>
      <c r="C13" s="9"/>
      <c r="D13" s="9"/>
      <c r="E13" s="9"/>
      <c r="F13" s="9"/>
      <c r="H13" s="9"/>
      <c r="I13" s="9"/>
    </row>
    <row r="14" spans="1:9" ht="14.1" customHeight="1" x14ac:dyDescent="0.2">
      <c r="A14" s="9"/>
      <c r="B14" s="9"/>
      <c r="C14" s="9"/>
      <c r="D14" s="9"/>
      <c r="E14" s="9"/>
      <c r="F14" s="9"/>
      <c r="H14" s="9"/>
      <c r="I14" s="9"/>
    </row>
    <row r="15" spans="1:9" ht="14.1" customHeight="1" x14ac:dyDescent="0.2">
      <c r="A15" s="9" t="s">
        <v>31</v>
      </c>
      <c r="B15" s="9"/>
      <c r="C15" s="9"/>
      <c r="D15" s="9"/>
      <c r="E15" s="9" t="s">
        <v>80</v>
      </c>
      <c r="F15" s="9"/>
      <c r="G15" s="9"/>
      <c r="H15" s="9" t="s">
        <v>81</v>
      </c>
      <c r="I15" s="9"/>
    </row>
    <row r="16" spans="1:9" ht="13.5" thickBot="1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ht="14.1" customHeight="1" x14ac:dyDescent="0.2">
      <c r="A17" s="13" t="s">
        <v>10</v>
      </c>
      <c r="B17" s="34" t="s">
        <v>32</v>
      </c>
      <c r="C17" s="14" t="s">
        <v>33</v>
      </c>
      <c r="D17" s="9"/>
      <c r="E17" s="13" t="s">
        <v>38</v>
      </c>
      <c r="F17" s="14" t="s">
        <v>39</v>
      </c>
      <c r="G17" s="10"/>
      <c r="H17" s="13" t="s">
        <v>82</v>
      </c>
      <c r="I17" s="14" t="s">
        <v>83</v>
      </c>
    </row>
    <row r="18" spans="1:9" ht="14.1" customHeight="1" x14ac:dyDescent="0.2">
      <c r="A18" s="18">
        <v>1</v>
      </c>
      <c r="B18" s="35">
        <f>COUNTIF('그릭요거트 '!$A$2:A$999,"1")</f>
        <v>0</v>
      </c>
      <c r="C18" s="19">
        <f>A18*B18</f>
        <v>0</v>
      </c>
      <c r="D18" s="9"/>
      <c r="E18" s="15" t="s">
        <v>40</v>
      </c>
      <c r="F18" s="16">
        <f>YOF!D2</f>
        <v>0</v>
      </c>
      <c r="G18" s="9"/>
      <c r="H18" s="38" t="s">
        <v>76</v>
      </c>
      <c r="I18" s="39">
        <f>(생산량표!J28)</f>
        <v>0</v>
      </c>
    </row>
    <row r="19" spans="1:9" ht="14.1" customHeight="1" x14ac:dyDescent="0.2">
      <c r="A19" s="18">
        <v>2</v>
      </c>
      <c r="B19" s="35">
        <f>COUNTIF('그릭요거트 '!$A$2:A$999,"2")</f>
        <v>0</v>
      </c>
      <c r="C19" s="19">
        <f t="shared" ref="C19:C24" si="0">A19*B19</f>
        <v>0</v>
      </c>
      <c r="D19" s="9"/>
      <c r="E19" s="15" t="s">
        <v>46</v>
      </c>
      <c r="F19" s="16">
        <f>YOF!D3+YOF!D5+YOF!D6+YOF!D9+YOF!D11+YOF!D14+YOF!D16+YOF!D19+YOF!D21+YOF!D24+YOF!D26+YOF!D29+YOF!D31</f>
        <v>0</v>
      </c>
      <c r="G19" s="9"/>
      <c r="H19" s="38" t="s">
        <v>77</v>
      </c>
      <c r="I19" s="39">
        <f>(생산량표!J29)</f>
        <v>2</v>
      </c>
    </row>
    <row r="20" spans="1:9" ht="14.1" customHeight="1" x14ac:dyDescent="0.2">
      <c r="A20" s="18">
        <v>3</v>
      </c>
      <c r="B20" s="35">
        <f>COUNTIF('그릭요거트 '!$A$2:A$999,"3")</f>
        <v>0</v>
      </c>
      <c r="C20" s="19">
        <f t="shared" si="0"/>
        <v>0</v>
      </c>
      <c r="D20" s="9"/>
      <c r="E20" s="15" t="s">
        <v>52</v>
      </c>
      <c r="F20" s="16">
        <f>YOF!D4+YOF!D7+YOF!D8+YOF!D10+YOF!D12+YOF!D13+YOF!D15+YOF!D17+YOF!D18+YOF!D20+YOF!D22+YOF!D23+YOF!D25+YOF!D27+YOF!D28+YOF!D30+YOF!D32</f>
        <v>0</v>
      </c>
      <c r="G20" s="9"/>
      <c r="H20" s="38" t="s">
        <v>78</v>
      </c>
      <c r="I20" s="39">
        <f>(생산량표!J30)</f>
        <v>1</v>
      </c>
    </row>
    <row r="21" spans="1:9" ht="14.1" customHeight="1" thickBot="1" x14ac:dyDescent="0.25">
      <c r="A21" s="18">
        <v>4</v>
      </c>
      <c r="B21" s="35">
        <f>COUNTIF('그릭요거트 '!$A$2:A$999,"4")</f>
        <v>0</v>
      </c>
      <c r="C21" s="19">
        <f t="shared" si="0"/>
        <v>0</v>
      </c>
      <c r="D21" s="9"/>
      <c r="E21" s="37" t="s">
        <v>84</v>
      </c>
      <c r="F21" s="17">
        <f>SUM(F18:F20)</f>
        <v>0</v>
      </c>
      <c r="G21" s="9"/>
      <c r="H21" s="38" t="s">
        <v>79</v>
      </c>
      <c r="I21" s="39">
        <f>(생산량표!J31)</f>
        <v>0</v>
      </c>
    </row>
    <row r="22" spans="1:9" ht="14.1" customHeight="1" thickBot="1" x14ac:dyDescent="0.25">
      <c r="A22" s="18">
        <v>5</v>
      </c>
      <c r="B22" s="35">
        <f>COUNTIF('그릭요거트 '!$A$2:A$999,"5")</f>
        <v>0</v>
      </c>
      <c r="C22" s="19">
        <f t="shared" si="0"/>
        <v>0</v>
      </c>
      <c r="D22" s="9"/>
      <c r="E22" s="9"/>
      <c r="F22" s="9"/>
      <c r="G22" s="9"/>
      <c r="H22" s="37" t="s">
        <v>50</v>
      </c>
      <c r="I22" s="40">
        <f>SUM(I18:I21)</f>
        <v>3</v>
      </c>
    </row>
    <row r="23" spans="1:9" ht="14.1" customHeight="1" x14ac:dyDescent="0.2">
      <c r="A23" s="18">
        <v>6</v>
      </c>
      <c r="B23" s="35">
        <f>COUNTIF('그릭요거트 '!$A$2:A$999,"6")</f>
        <v>0</v>
      </c>
      <c r="C23" s="19">
        <f t="shared" si="0"/>
        <v>0</v>
      </c>
      <c r="D23" s="9"/>
      <c r="G23" s="9"/>
    </row>
    <row r="24" spans="1:9" ht="14.1" customHeight="1" x14ac:dyDescent="0.2">
      <c r="A24" s="18">
        <v>7</v>
      </c>
      <c r="B24" s="35">
        <f>COUNTIF('그릭요거트 '!$A$2:A$999,"7")</f>
        <v>0</v>
      </c>
      <c r="C24" s="19">
        <f t="shared" si="0"/>
        <v>0</v>
      </c>
      <c r="D24" s="9"/>
      <c r="G24" s="9"/>
      <c r="H24" s="9"/>
      <c r="I24" s="9"/>
    </row>
    <row r="25" spans="1:9" ht="14.1" customHeight="1" x14ac:dyDescent="0.2">
      <c r="A25" s="18">
        <v>8</v>
      </c>
      <c r="B25" s="35">
        <f>COUNTIF('그릭요거트 '!$A$2:A$999,"8")</f>
        <v>0</v>
      </c>
      <c r="C25" s="19">
        <f>A25*B25</f>
        <v>0</v>
      </c>
      <c r="D25" s="9"/>
      <c r="G25" s="9"/>
      <c r="H25" s="9"/>
      <c r="I25" s="9"/>
    </row>
    <row r="26" spans="1:9" ht="14.1" customHeight="1" x14ac:dyDescent="0.2">
      <c r="A26" s="18">
        <v>9</v>
      </c>
      <c r="B26" s="35">
        <f>COUNTIF('그릭요거트 '!$A$2:A$999,"9")</f>
        <v>0</v>
      </c>
      <c r="C26" s="19">
        <f>A26*B26</f>
        <v>0</v>
      </c>
      <c r="D26" s="9"/>
      <c r="G26" s="9"/>
      <c r="H26" s="9"/>
      <c r="I26" s="9"/>
    </row>
    <row r="27" spans="1:9" ht="14.1" customHeight="1" x14ac:dyDescent="0.2">
      <c r="A27" s="18">
        <v>10</v>
      </c>
      <c r="B27" s="35">
        <f>COUNTIF('그릭요거트 '!$A$2:A$999,"10")</f>
        <v>0</v>
      </c>
      <c r="C27" s="19">
        <f>A27*B27</f>
        <v>0</v>
      </c>
      <c r="D27" s="9"/>
      <c r="G27" s="9"/>
      <c r="H27" s="9"/>
      <c r="I27" s="9"/>
    </row>
    <row r="28" spans="1:9" ht="14.1" customHeight="1" thickBot="1" x14ac:dyDescent="0.25">
      <c r="A28" s="37" t="s">
        <v>34</v>
      </c>
      <c r="B28" s="33">
        <f>SUM(B18:B27)</f>
        <v>0</v>
      </c>
      <c r="C28" s="20">
        <f>SUM(C18:C27)</f>
        <v>0</v>
      </c>
      <c r="D28" s="9"/>
      <c r="G28" s="9"/>
      <c r="H28" s="9"/>
      <c r="I28" s="9"/>
    </row>
    <row r="29" spans="1:9" ht="14.1" customHeight="1" x14ac:dyDescent="0.2">
      <c r="A29" s="9"/>
      <c r="B29" s="9"/>
      <c r="C29" s="10"/>
      <c r="D29" s="9"/>
      <c r="G29" s="9"/>
      <c r="H29" s="9"/>
      <c r="I29" s="9"/>
    </row>
    <row r="30" spans="1:9" ht="14.1" customHeight="1" x14ac:dyDescent="0.2">
      <c r="A30" s="36" t="s">
        <v>187</v>
      </c>
      <c r="B30" s="132">
        <f>생산량표!Q27</f>
        <v>0</v>
      </c>
      <c r="C30" s="9" t="s">
        <v>196</v>
      </c>
      <c r="D30" s="9"/>
      <c r="G30" s="9"/>
      <c r="H30" s="9"/>
      <c r="I30" s="10"/>
    </row>
    <row r="31" spans="1:9" ht="14.1" customHeight="1" x14ac:dyDescent="0.2">
      <c r="A31" s="9"/>
      <c r="B31" s="9"/>
      <c r="C31" s="9"/>
      <c r="D31" s="9"/>
      <c r="E31" s="9"/>
      <c r="F31" s="9"/>
      <c r="G31" s="9"/>
    </row>
  </sheetData>
  <sortState xmlns:xlrd2="http://schemas.microsoft.com/office/spreadsheetml/2017/richdata2" ref="I8">
    <sortCondition ref="I8"/>
  </sortState>
  <mergeCells count="1">
    <mergeCell ref="A1:I1"/>
  </mergeCells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239E-2A54-4DD7-86A7-C6F2A95D23F0}">
  <sheetPr codeName="Sheet8"/>
  <dimension ref="A1"/>
  <sheetViews>
    <sheetView workbookViewId="0">
      <selection activeCell="S26" sqref="S26"/>
    </sheetView>
  </sheetViews>
  <sheetFormatPr defaultRowHeight="16.5" x14ac:dyDescent="0.3"/>
  <cols>
    <col min="1" max="1" width="11" bestFit="1" customWidth="1"/>
  </cols>
  <sheetData>
    <row r="1" spans="1:1" x14ac:dyDescent="0.3">
      <c r="A1" s="54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155F-5BF2-46FC-99D8-C4FE35B6E173}">
  <sheetPr codeName="Sheet10"/>
  <dimension ref="A1:G33"/>
  <sheetViews>
    <sheetView workbookViewId="0">
      <selection activeCell="S26" sqref="S26"/>
    </sheetView>
  </sheetViews>
  <sheetFormatPr defaultRowHeight="16.5" x14ac:dyDescent="0.3"/>
  <cols>
    <col min="1" max="1" width="6.5" style="11" bestFit="1" customWidth="1"/>
    <col min="2" max="2" width="11.375" style="11" bestFit="1" customWidth="1"/>
    <col min="3" max="3" width="15" style="11" bestFit="1" customWidth="1"/>
    <col min="4" max="4" width="36.375" style="11" bestFit="1" customWidth="1"/>
    <col min="5" max="5" width="11.375" style="11" bestFit="1" customWidth="1"/>
    <col min="7" max="7" width="9" style="55"/>
  </cols>
  <sheetData>
    <row r="1" spans="1:7" ht="21" thickBot="1" x14ac:dyDescent="0.35">
      <c r="A1" s="22" t="s">
        <v>38</v>
      </c>
      <c r="B1" s="23" t="s">
        <v>41</v>
      </c>
      <c r="C1" s="23" t="s">
        <v>42</v>
      </c>
      <c r="D1" s="23" t="s">
        <v>43</v>
      </c>
      <c r="E1" s="24" t="s">
        <v>44</v>
      </c>
      <c r="G1" s="12" t="s">
        <v>51</v>
      </c>
    </row>
    <row r="2" spans="1:7" x14ac:dyDescent="0.3">
      <c r="A2" s="27" t="s">
        <v>40</v>
      </c>
      <c r="B2" s="25">
        <f>COUNTIF(G1:G501,"1")</f>
        <v>0</v>
      </c>
      <c r="C2" s="25" t="s">
        <v>45</v>
      </c>
      <c r="D2" s="25">
        <f>B2</f>
        <v>0</v>
      </c>
      <c r="E2" s="28"/>
      <c r="G2"/>
    </row>
    <row r="3" spans="1:7" x14ac:dyDescent="0.3">
      <c r="A3" s="101" t="s">
        <v>46</v>
      </c>
      <c r="B3" s="102">
        <f>COUNTIF(G1:G501,"2")</f>
        <v>0</v>
      </c>
      <c r="C3" s="102" t="s">
        <v>47</v>
      </c>
      <c r="D3" s="102">
        <f>B3</f>
        <v>0</v>
      </c>
      <c r="E3" s="103"/>
      <c r="G3"/>
    </row>
    <row r="4" spans="1:7" x14ac:dyDescent="0.3">
      <c r="A4" s="31" t="s">
        <v>52</v>
      </c>
      <c r="B4" s="21">
        <f>COUNTIF(G1:G501,"3")</f>
        <v>0</v>
      </c>
      <c r="C4" s="21" t="s">
        <v>69</v>
      </c>
      <c r="D4" s="21">
        <f>B4</f>
        <v>0</v>
      </c>
      <c r="E4" s="30"/>
      <c r="G4"/>
    </row>
    <row r="5" spans="1:7" x14ac:dyDescent="0.3">
      <c r="A5" s="104" t="s">
        <v>53</v>
      </c>
      <c r="B5" s="105">
        <f>COUNTIF(G1:G501,"4")</f>
        <v>0</v>
      </c>
      <c r="C5" s="105" t="s">
        <v>71</v>
      </c>
      <c r="D5" s="105">
        <f>B5*2</f>
        <v>0</v>
      </c>
      <c r="E5" s="106"/>
      <c r="G5"/>
    </row>
    <row r="6" spans="1:7" x14ac:dyDescent="0.3">
      <c r="A6" s="298" t="s">
        <v>54</v>
      </c>
      <c r="B6" s="299">
        <f>COUNTIF(G1:G501,"5")</f>
        <v>0</v>
      </c>
      <c r="C6" s="21" t="s">
        <v>47</v>
      </c>
      <c r="D6" s="21">
        <f>B6</f>
        <v>0</v>
      </c>
      <c r="E6" s="30"/>
      <c r="G6"/>
    </row>
    <row r="7" spans="1:7" x14ac:dyDescent="0.3">
      <c r="A7" s="298"/>
      <c r="B7" s="299"/>
      <c r="C7" s="21" t="s">
        <v>69</v>
      </c>
      <c r="D7" s="21">
        <f>B6</f>
        <v>0</v>
      </c>
      <c r="E7" s="30"/>
      <c r="G7"/>
    </row>
    <row r="8" spans="1:7" x14ac:dyDescent="0.3">
      <c r="A8" s="101" t="s">
        <v>55</v>
      </c>
      <c r="B8" s="102">
        <f>COUNTIF(G1:G501,"6")</f>
        <v>0</v>
      </c>
      <c r="C8" s="102" t="s">
        <v>70</v>
      </c>
      <c r="D8" s="102">
        <f>B8*2</f>
        <v>0</v>
      </c>
      <c r="E8" s="103"/>
      <c r="G8"/>
    </row>
    <row r="9" spans="1:7" x14ac:dyDescent="0.3">
      <c r="A9" s="298" t="s">
        <v>56</v>
      </c>
      <c r="B9" s="299">
        <f>COUNTIF(G1:G501,"7")</f>
        <v>0</v>
      </c>
      <c r="C9" s="21" t="s">
        <v>71</v>
      </c>
      <c r="D9" s="21">
        <f>B9*2</f>
        <v>0</v>
      </c>
      <c r="E9" s="30"/>
      <c r="G9"/>
    </row>
    <row r="10" spans="1:7" x14ac:dyDescent="0.3">
      <c r="A10" s="298"/>
      <c r="B10" s="299"/>
      <c r="C10" s="21" t="s">
        <v>69</v>
      </c>
      <c r="D10" s="21">
        <f>B9</f>
        <v>0</v>
      </c>
      <c r="E10" s="30"/>
      <c r="G10"/>
    </row>
    <row r="11" spans="1:7" x14ac:dyDescent="0.3">
      <c r="A11" s="300" t="s">
        <v>57</v>
      </c>
      <c r="B11" s="301">
        <f>COUNTIF(G1:G501,"8")</f>
        <v>0</v>
      </c>
      <c r="C11" s="102" t="s">
        <v>47</v>
      </c>
      <c r="D11" s="102">
        <f>B11</f>
        <v>0</v>
      </c>
      <c r="E11" s="103"/>
      <c r="G11"/>
    </row>
    <row r="12" spans="1:7" x14ac:dyDescent="0.3">
      <c r="A12" s="300"/>
      <c r="B12" s="301"/>
      <c r="C12" s="102" t="s">
        <v>70</v>
      </c>
      <c r="D12" s="102">
        <f>B11*2</f>
        <v>0</v>
      </c>
      <c r="E12" s="103"/>
      <c r="G12"/>
    </row>
    <row r="13" spans="1:7" x14ac:dyDescent="0.3">
      <c r="A13" s="31" t="s">
        <v>58</v>
      </c>
      <c r="B13" s="21">
        <f>COUNTIF(G1:G501,"9")</f>
        <v>0</v>
      </c>
      <c r="C13" s="21" t="s">
        <v>49</v>
      </c>
      <c r="D13" s="21">
        <f>B13*3</f>
        <v>0</v>
      </c>
      <c r="E13" s="30"/>
      <c r="G13"/>
    </row>
    <row r="14" spans="1:7" x14ac:dyDescent="0.3">
      <c r="A14" s="300" t="s">
        <v>59</v>
      </c>
      <c r="B14" s="301">
        <f>COUNTIF(G1:G501,"10")</f>
        <v>0</v>
      </c>
      <c r="C14" s="102" t="s">
        <v>71</v>
      </c>
      <c r="D14" s="102">
        <f>B14*2</f>
        <v>0</v>
      </c>
      <c r="E14" s="103"/>
      <c r="G14"/>
    </row>
    <row r="15" spans="1:7" x14ac:dyDescent="0.3">
      <c r="A15" s="300"/>
      <c r="B15" s="301"/>
      <c r="C15" s="102" t="s">
        <v>70</v>
      </c>
      <c r="D15" s="102">
        <f>B14*2</f>
        <v>0</v>
      </c>
      <c r="E15" s="103"/>
      <c r="G15"/>
    </row>
    <row r="16" spans="1:7" x14ac:dyDescent="0.3">
      <c r="A16" s="294" t="s">
        <v>48</v>
      </c>
      <c r="B16" s="296">
        <f>COUNTIF(G1:G501,"11")</f>
        <v>0</v>
      </c>
      <c r="C16" s="21" t="s">
        <v>47</v>
      </c>
      <c r="D16" s="21">
        <f>B16</f>
        <v>0</v>
      </c>
      <c r="E16" s="30"/>
    </row>
    <row r="17" spans="1:5" x14ac:dyDescent="0.3">
      <c r="A17" s="295"/>
      <c r="B17" s="297"/>
      <c r="C17" s="21" t="s">
        <v>49</v>
      </c>
      <c r="D17" s="21">
        <f>B16*3</f>
        <v>0</v>
      </c>
      <c r="E17" s="30"/>
    </row>
    <row r="18" spans="1:5" x14ac:dyDescent="0.3">
      <c r="A18" s="101" t="s">
        <v>60</v>
      </c>
      <c r="B18" s="102">
        <f>COUNTIF(G1:G501,"12")</f>
        <v>0</v>
      </c>
      <c r="C18" s="102" t="s">
        <v>72</v>
      </c>
      <c r="D18" s="102">
        <f>B18*4</f>
        <v>0</v>
      </c>
      <c r="E18" s="103"/>
    </row>
    <row r="19" spans="1:5" x14ac:dyDescent="0.3">
      <c r="A19" s="294" t="s">
        <v>61</v>
      </c>
      <c r="B19" s="296">
        <f>COUNTIF(G1:G501,"13")</f>
        <v>0</v>
      </c>
      <c r="C19" s="21" t="s">
        <v>71</v>
      </c>
      <c r="D19" s="21">
        <f>B19*2</f>
        <v>0</v>
      </c>
      <c r="E19" s="30"/>
    </row>
    <row r="20" spans="1:5" x14ac:dyDescent="0.3">
      <c r="A20" s="295"/>
      <c r="B20" s="297"/>
      <c r="C20" s="21" t="s">
        <v>49</v>
      </c>
      <c r="D20" s="21">
        <f>B19*3</f>
        <v>0</v>
      </c>
      <c r="E20" s="30"/>
    </row>
    <row r="21" spans="1:5" x14ac:dyDescent="0.3">
      <c r="A21" s="290" t="s">
        <v>62</v>
      </c>
      <c r="B21" s="292">
        <f>COUNTIF(G1:G501,"14")</f>
        <v>0</v>
      </c>
      <c r="C21" s="102" t="s">
        <v>47</v>
      </c>
      <c r="D21" s="102">
        <f>B21*1</f>
        <v>0</v>
      </c>
      <c r="E21" s="103"/>
    </row>
    <row r="22" spans="1:5" x14ac:dyDescent="0.3">
      <c r="A22" s="291"/>
      <c r="B22" s="293"/>
      <c r="C22" s="102" t="s">
        <v>72</v>
      </c>
      <c r="D22" s="102">
        <f>B21*4</f>
        <v>0</v>
      </c>
      <c r="E22" s="103"/>
    </row>
    <row r="23" spans="1:5" x14ac:dyDescent="0.3">
      <c r="A23" s="31" t="s">
        <v>63</v>
      </c>
      <c r="B23" s="21">
        <f>COUNTIF(G1:G501,"15")</f>
        <v>0</v>
      </c>
      <c r="C23" s="21" t="s">
        <v>73</v>
      </c>
      <c r="D23" s="21">
        <f>B23*5</f>
        <v>0</v>
      </c>
      <c r="E23" s="30"/>
    </row>
    <row r="24" spans="1:5" x14ac:dyDescent="0.3">
      <c r="A24" s="290" t="s">
        <v>64</v>
      </c>
      <c r="B24" s="292">
        <f>COUNTIF(G1:G501,"16")</f>
        <v>0</v>
      </c>
      <c r="C24" s="102" t="s">
        <v>71</v>
      </c>
      <c r="D24" s="102">
        <f>B24*2</f>
        <v>0</v>
      </c>
      <c r="E24" s="103"/>
    </row>
    <row r="25" spans="1:5" x14ac:dyDescent="0.3">
      <c r="A25" s="291"/>
      <c r="B25" s="293"/>
      <c r="C25" s="102" t="s">
        <v>72</v>
      </c>
      <c r="D25" s="102">
        <f>B24*4</f>
        <v>0</v>
      </c>
      <c r="E25" s="103"/>
    </row>
    <row r="26" spans="1:5" x14ac:dyDescent="0.3">
      <c r="A26" s="294" t="s">
        <v>65</v>
      </c>
      <c r="B26" s="296">
        <f>COUNTIF(G1:G501,"17")</f>
        <v>0</v>
      </c>
      <c r="C26" s="21" t="s">
        <v>47</v>
      </c>
      <c r="D26" s="21">
        <f>B26*1</f>
        <v>0</v>
      </c>
      <c r="E26" s="30"/>
    </row>
    <row r="27" spans="1:5" x14ac:dyDescent="0.3">
      <c r="A27" s="295"/>
      <c r="B27" s="297"/>
      <c r="C27" s="21" t="s">
        <v>73</v>
      </c>
      <c r="D27" s="21">
        <f>B26*5</f>
        <v>0</v>
      </c>
      <c r="E27" s="30"/>
    </row>
    <row r="28" spans="1:5" x14ac:dyDescent="0.3">
      <c r="A28" s="101" t="s">
        <v>66</v>
      </c>
      <c r="B28" s="102">
        <f>COUNTIF(G1:G501,"18")</f>
        <v>0</v>
      </c>
      <c r="C28" s="102" t="s">
        <v>74</v>
      </c>
      <c r="D28" s="102">
        <f>B28*6</f>
        <v>0</v>
      </c>
      <c r="E28" s="103"/>
    </row>
    <row r="29" spans="1:5" x14ac:dyDescent="0.3">
      <c r="A29" s="294" t="s">
        <v>67</v>
      </c>
      <c r="B29" s="296">
        <f>COUNTIF(G1:G501,"19")</f>
        <v>0</v>
      </c>
      <c r="C29" s="21" t="s">
        <v>71</v>
      </c>
      <c r="D29" s="21">
        <f>B29*2</f>
        <v>0</v>
      </c>
      <c r="E29" s="30"/>
    </row>
    <row r="30" spans="1:5" x14ac:dyDescent="0.3">
      <c r="A30" s="295"/>
      <c r="B30" s="297"/>
      <c r="C30" s="21" t="s">
        <v>73</v>
      </c>
      <c r="D30" s="21">
        <f>B29*5</f>
        <v>0</v>
      </c>
      <c r="E30" s="30"/>
    </row>
    <row r="31" spans="1:5" x14ac:dyDescent="0.3">
      <c r="A31" s="290" t="s">
        <v>68</v>
      </c>
      <c r="B31" s="292">
        <f>COUNTIF(G1:G501,"20")</f>
        <v>0</v>
      </c>
      <c r="C31" s="102" t="s">
        <v>47</v>
      </c>
      <c r="D31" s="102">
        <f>B31*1</f>
        <v>0</v>
      </c>
      <c r="E31" s="103"/>
    </row>
    <row r="32" spans="1:5" x14ac:dyDescent="0.3">
      <c r="A32" s="291"/>
      <c r="B32" s="293"/>
      <c r="C32" s="102" t="s">
        <v>74</v>
      </c>
      <c r="D32" s="102">
        <f>B31*6</f>
        <v>0</v>
      </c>
      <c r="E32" s="103"/>
    </row>
    <row r="33" spans="1:5" ht="17.25" thickBot="1" x14ac:dyDescent="0.35">
      <c r="A33" s="107" t="s">
        <v>50</v>
      </c>
      <c r="B33" s="109">
        <f>SUM(B2:B32)</f>
        <v>0</v>
      </c>
      <c r="C33" s="26"/>
      <c r="D33" s="108">
        <f>SUM(D2:D32)</f>
        <v>0</v>
      </c>
      <c r="E33" s="29"/>
    </row>
  </sheetData>
  <autoFilter ref="G1:G145" xr:uid="{4A1C155F-5BF2-46FC-99D8-C4FE35B6E173}"/>
  <mergeCells count="22">
    <mergeCell ref="A29:A30"/>
    <mergeCell ref="B29:B30"/>
    <mergeCell ref="A31:A32"/>
    <mergeCell ref="B31:B32"/>
    <mergeCell ref="A6:A7"/>
    <mergeCell ref="B6:B7"/>
    <mergeCell ref="A9:A10"/>
    <mergeCell ref="B9:B10"/>
    <mergeCell ref="A11:A12"/>
    <mergeCell ref="B11:B12"/>
    <mergeCell ref="A14:A15"/>
    <mergeCell ref="B14:B15"/>
    <mergeCell ref="A16:A17"/>
    <mergeCell ref="B16:B17"/>
    <mergeCell ref="A19:A20"/>
    <mergeCell ref="B19:B20"/>
    <mergeCell ref="A21:A22"/>
    <mergeCell ref="B21:B22"/>
    <mergeCell ref="A24:A25"/>
    <mergeCell ref="B24:B25"/>
    <mergeCell ref="A26:A27"/>
    <mergeCell ref="B26:B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생산량표</vt:lpstr>
      <vt:lpstr>발송특이사항</vt:lpstr>
      <vt:lpstr>그릭요거트 </vt:lpstr>
      <vt:lpstr>YOF</vt:lpstr>
      <vt:lpstr>발송특이사항!Print_Area</vt:lpstr>
      <vt:lpstr>생산량표!Print_Area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junghong seo</dc:creator>
  <cp:lastModifiedBy>팀 매니저</cp:lastModifiedBy>
  <cp:lastPrinted>2026-06-23T02:27:45Z</cp:lastPrinted>
  <dcterms:created xsi:type="dcterms:W3CDTF">2021-02-07T04:07:42Z</dcterms:created>
  <dcterms:modified xsi:type="dcterms:W3CDTF">2026-07-21T12:13:12Z</dcterms:modified>
</cp:coreProperties>
</file>